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ossiers" sheetId="2" state="visible" r:id="rId2"/>
    <sheet name="1. Lancement" sheetId="3" state="visible" r:id="rId3"/>
    <sheet name="2. Socle &amp; Charte" sheetId="4" state="visible" r:id="rId4"/>
    <sheet name="3. Connexion &amp; Comptes" sheetId="5" state="visible" r:id="rId5"/>
    <sheet name="4. Besoins &amp; Postes" sheetId="6" state="visible" r:id="rId6"/>
    <sheet name="5. Offres &amp; Carrières" sheetId="7" state="visible" r:id="rId7"/>
    <sheet name="6. Candidatures &amp; Entretiens" sheetId="8" state="visible" r:id="rId8"/>
    <sheet name="7. Propositions &amp; Embauche" sheetId="9" state="visible" r:id="rId9"/>
    <sheet name="8. Employés &amp; Contrats" sheetId="10" state="visible" r:id="rId10"/>
    <sheet name="9. Onboarding" sheetId="11" state="visible" r:id="rId11"/>
    <sheet name="10. Tableau de bord &amp; Notifs" sheetId="12" state="visible" r:id="rId12"/>
    <sheet name="11. Tests &amp; Soutenance" sheetId="13" state="visible" r:id="rId13"/>
  </sheets>
  <definedNames>
    <definedName name="_xlnm._FilterDatabase" localSheetId="2" hidden="1">'1. Lancement'!$A$1:$I$8</definedName>
    <definedName name="_xlnm._FilterDatabase" localSheetId="3" hidden="1">'2. Socle &amp; Charte'!$A$1:$I$14</definedName>
    <definedName name="_xlnm._FilterDatabase" localSheetId="4" hidden="1">'3. Connexion &amp; Comptes'!$A$1:$I$6</definedName>
    <definedName name="_xlnm._FilterDatabase" localSheetId="5" hidden="1">'4. Besoins &amp; Postes'!$A$1:$I$14</definedName>
    <definedName name="_xlnm._FilterDatabase" localSheetId="6" hidden="1">'5. Offres &amp; Carrières'!$A$1:$I$12</definedName>
    <definedName name="_xlnm._FilterDatabase" localSheetId="7" hidden="1">'6. Candidatures &amp; Entretiens'!$A$1:$I$11</definedName>
    <definedName name="_xlnm._FilterDatabase" localSheetId="8" hidden="1">'7. Propositions &amp; Embauche'!$A$1:$I$10</definedName>
    <definedName name="_xlnm._FilterDatabase" localSheetId="9" hidden="1">'8. Employés &amp; Contrats'!$A$1:$I$10</definedName>
    <definedName name="_xlnm._FilterDatabase" localSheetId="10" hidden="1">'9. Onboarding'!$A$1:$I$5</definedName>
    <definedName name="_xlnm._FilterDatabase" localSheetId="11" hidden="1">'10. Tableau de bord &amp; Notifs'!$A$1:$I$6</definedName>
    <definedName name="_xlnm._FilterDatabase" localSheetId="12" hidden="1">'11. Tests &amp; Soutenance'!$A$1:$I$19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Consolas"/>
      <sz val="9"/>
    </font>
    <font>
      <name val="Arial"/>
      <b val="1"/>
      <sz val="14"/>
    </font>
    <font>
      <name val="Arial"/>
      <i val="1"/>
    </font>
    <font>
      <name val="Arial"/>
    </font>
    <font>
      <name val="Arial"/>
      <b val="1"/>
    </font>
    <font>
      <name val="Arial"/>
      <i val="1"/>
      <color rgb="00666666"/>
    </font>
    <font>
      <name val="Consolas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9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9" fillId="0" borderId="0" pivotButton="0" quotePrefix="0" xfId="0"/>
    <xf numFmtId="0" fontId="1" fillId="2" borderId="1" pivotButton="0" quotePrefix="0" xfId="0"/>
    <xf numFmtId="0" fontId="8" fillId="7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Mr Tovo — Suivi des tâches (19 → 23 octobre)</t>
        </is>
      </c>
    </row>
    <row r="2" ht="32" customHeight="1">
      <c r="A2" s="2" t="inlineStr">
        <is>
          <t>Mode d'emploi : dans chaque onglet, choisir le Status (En cours / Fait) et la personne dans « Fait par » via les listes déroulantes. Vide = pas commencé. Ce résumé se met à jour tout seul.</t>
        </is>
      </c>
    </row>
    <row r="4">
      <c r="A4" s="3" t="inlineStr">
        <is>
          <t>Page</t>
        </is>
      </c>
      <c r="B4" s="3" t="inlineStr">
        <is>
          <t>Total</t>
        </is>
      </c>
      <c r="C4" s="3" t="inlineStr">
        <is>
          <t>En cours</t>
        </is>
      </c>
      <c r="D4" s="3" t="inlineStr">
        <is>
          <t>Fait</t>
        </is>
      </c>
      <c r="E4" s="3" t="inlineStr">
        <is>
          <t>Avancement</t>
        </is>
      </c>
      <c r="F4" s="3" t="inlineStr">
        <is>
          <t>Armando</t>
        </is>
      </c>
      <c r="G4" s="3" t="inlineStr">
        <is>
          <t>Tsiky</t>
        </is>
      </c>
      <c r="H4" s="3" t="inlineStr">
        <is>
          <t>Miora</t>
        </is>
      </c>
      <c r="I4" s="3" t="inlineStr">
        <is>
          <t>Andriantsoa</t>
        </is>
      </c>
    </row>
    <row r="5">
      <c r="A5" s="4" t="inlineStr">
        <is>
          <t>1. Lancement</t>
        </is>
      </c>
      <c r="B5" s="5">
        <f>COUNTA('1. Lancement'!A2:A200)</f>
        <v/>
      </c>
      <c r="C5" s="5">
        <f>COUNTIF('1. Lancement'!H2:H200,"En cours")</f>
        <v/>
      </c>
      <c r="D5" s="5">
        <f>COUNTIF('1. Lancement'!H2:H200,"Fait")</f>
        <v/>
      </c>
      <c r="E5" s="6">
        <f>IF(B5=0,0,D5/B5)</f>
        <v/>
      </c>
      <c r="F5" s="5">
        <f>COUNTIFS('1. Lancement'!I2:I200,"Armando",'1. Lancement'!H2:H200,"Fait")</f>
        <v/>
      </c>
      <c r="G5" s="5">
        <f>COUNTIFS('1. Lancement'!I2:I200,"Tsiky",'1. Lancement'!H2:H200,"Fait")</f>
        <v/>
      </c>
      <c r="H5" s="5">
        <f>COUNTIFS('1. Lancement'!I2:I200,"Miora",'1. Lancement'!H2:H200,"Fait")</f>
        <v/>
      </c>
      <c r="I5" s="5">
        <f>COUNTIFS('1. Lancement'!I2:I200,"Andriantsoa",'1. Lancement'!H2:H200,"Fait")</f>
        <v/>
      </c>
    </row>
    <row r="6">
      <c r="A6" s="4" t="inlineStr">
        <is>
          <t>2. Socle &amp; Charte</t>
        </is>
      </c>
      <c r="B6" s="5">
        <f>COUNTA('2. Socle &amp; Charte'!A2:A200)</f>
        <v/>
      </c>
      <c r="C6" s="5">
        <f>COUNTIF('2. Socle &amp; Charte'!H2:H200,"En cours")</f>
        <v/>
      </c>
      <c r="D6" s="5">
        <f>COUNTIF('2. Socle &amp; Charte'!H2:H200,"Fait")</f>
        <v/>
      </c>
      <c r="E6" s="6">
        <f>IF(B6=0,0,D6/B6)</f>
        <v/>
      </c>
      <c r="F6" s="5">
        <f>COUNTIFS('2. Socle &amp; Charte'!I2:I200,"Armando",'2. Socle &amp; Charte'!H2:H200,"Fait")</f>
        <v/>
      </c>
      <c r="G6" s="5">
        <f>COUNTIFS('2. Socle &amp; Charte'!I2:I200,"Tsiky",'2. Socle &amp; Charte'!H2:H200,"Fait")</f>
        <v/>
      </c>
      <c r="H6" s="5">
        <f>COUNTIFS('2. Socle &amp; Charte'!I2:I200,"Miora",'2. Socle &amp; Charte'!H2:H200,"Fait")</f>
        <v/>
      </c>
      <c r="I6" s="5">
        <f>COUNTIFS('2. Socle &amp; Charte'!I2:I200,"Andriantsoa",'2. Socle &amp; Charte'!H2:H200,"Fait")</f>
        <v/>
      </c>
    </row>
    <row r="7">
      <c r="A7" s="4" t="inlineStr">
        <is>
          <t>3. Connexion &amp; Comptes</t>
        </is>
      </c>
      <c r="B7" s="5">
        <f>COUNTA('3. Connexion &amp; Comptes'!A2:A200)</f>
        <v/>
      </c>
      <c r="C7" s="5">
        <f>COUNTIF('3. Connexion &amp; Comptes'!H2:H200,"En cours")</f>
        <v/>
      </c>
      <c r="D7" s="5">
        <f>COUNTIF('3. Connexion &amp; Comptes'!H2:H200,"Fait")</f>
        <v/>
      </c>
      <c r="E7" s="6">
        <f>IF(B7=0,0,D7/B7)</f>
        <v/>
      </c>
      <c r="F7" s="5">
        <f>COUNTIFS('3. Connexion &amp; Comptes'!I2:I200,"Armando",'3. Connexion &amp; Comptes'!H2:H200,"Fait")</f>
        <v/>
      </c>
      <c r="G7" s="5">
        <f>COUNTIFS('3. Connexion &amp; Comptes'!I2:I200,"Tsiky",'3. Connexion &amp; Comptes'!H2:H200,"Fait")</f>
        <v/>
      </c>
      <c r="H7" s="5">
        <f>COUNTIFS('3. Connexion &amp; Comptes'!I2:I200,"Miora",'3. Connexion &amp; Comptes'!H2:H200,"Fait")</f>
        <v/>
      </c>
      <c r="I7" s="5">
        <f>COUNTIFS('3. Connexion &amp; Comptes'!I2:I200,"Andriantsoa",'3. Connexion &amp; Comptes'!H2:H200,"Fait")</f>
        <v/>
      </c>
    </row>
    <row r="8">
      <c r="A8" s="4" t="inlineStr">
        <is>
          <t>4. Besoins &amp; Postes</t>
        </is>
      </c>
      <c r="B8" s="5">
        <f>COUNTA('4. Besoins &amp; Postes'!A2:A200)</f>
        <v/>
      </c>
      <c r="C8" s="5">
        <f>COUNTIF('4. Besoins &amp; Postes'!H2:H200,"En cours")</f>
        <v/>
      </c>
      <c r="D8" s="5">
        <f>COUNTIF('4. Besoins &amp; Postes'!H2:H200,"Fait")</f>
        <v/>
      </c>
      <c r="E8" s="6">
        <f>IF(B8=0,0,D8/B8)</f>
        <v/>
      </c>
      <c r="F8" s="5">
        <f>COUNTIFS('4. Besoins &amp; Postes'!I2:I200,"Armando",'4. Besoins &amp; Postes'!H2:H200,"Fait")</f>
        <v/>
      </c>
      <c r="G8" s="5">
        <f>COUNTIFS('4. Besoins &amp; Postes'!I2:I200,"Tsiky",'4. Besoins &amp; Postes'!H2:H200,"Fait")</f>
        <v/>
      </c>
      <c r="H8" s="5">
        <f>COUNTIFS('4. Besoins &amp; Postes'!I2:I200,"Miora",'4. Besoins &amp; Postes'!H2:H200,"Fait")</f>
        <v/>
      </c>
      <c r="I8" s="5">
        <f>COUNTIFS('4. Besoins &amp; Postes'!I2:I200,"Andriantsoa",'4. Besoins &amp; Postes'!H2:H200,"Fait")</f>
        <v/>
      </c>
    </row>
    <row r="9">
      <c r="A9" s="4" t="inlineStr">
        <is>
          <t>5. Offres &amp; Carrières</t>
        </is>
      </c>
      <c r="B9" s="5">
        <f>COUNTA('5. Offres &amp; Carrières'!A2:A200)</f>
        <v/>
      </c>
      <c r="C9" s="5">
        <f>COUNTIF('5. Offres &amp; Carrières'!H2:H200,"En cours")</f>
        <v/>
      </c>
      <c r="D9" s="5">
        <f>COUNTIF('5. Offres &amp; Carrières'!H2:H200,"Fait")</f>
        <v/>
      </c>
      <c r="E9" s="6">
        <f>IF(B9=0,0,D9/B9)</f>
        <v/>
      </c>
      <c r="F9" s="5">
        <f>COUNTIFS('5. Offres &amp; Carrières'!I2:I200,"Armando",'5. Offres &amp; Carrières'!H2:H200,"Fait")</f>
        <v/>
      </c>
      <c r="G9" s="5">
        <f>COUNTIFS('5. Offres &amp; Carrières'!I2:I200,"Tsiky",'5. Offres &amp; Carrières'!H2:H200,"Fait")</f>
        <v/>
      </c>
      <c r="H9" s="5">
        <f>COUNTIFS('5. Offres &amp; Carrières'!I2:I200,"Miora",'5. Offres &amp; Carrières'!H2:H200,"Fait")</f>
        <v/>
      </c>
      <c r="I9" s="5">
        <f>COUNTIFS('5. Offres &amp; Carrières'!I2:I200,"Andriantsoa",'5. Offres &amp; Carrières'!H2:H200,"Fait")</f>
        <v/>
      </c>
    </row>
    <row r="10">
      <c r="A10" s="4" t="inlineStr">
        <is>
          <t>6. Candidatures &amp; Entretiens</t>
        </is>
      </c>
      <c r="B10" s="5">
        <f>COUNTA('6. Candidatures &amp; Entretiens'!A2:A200)</f>
        <v/>
      </c>
      <c r="C10" s="5">
        <f>COUNTIF('6. Candidatures &amp; Entretiens'!H2:H200,"En cours")</f>
        <v/>
      </c>
      <c r="D10" s="5">
        <f>COUNTIF('6. Candidatures &amp; Entretiens'!H2:H200,"Fait")</f>
        <v/>
      </c>
      <c r="E10" s="6">
        <f>IF(B10=0,0,D10/B10)</f>
        <v/>
      </c>
      <c r="F10" s="5">
        <f>COUNTIFS('6. Candidatures &amp; Entretiens'!I2:I200,"Armando",'6. Candidatures &amp; Entretiens'!H2:H200,"Fait")</f>
        <v/>
      </c>
      <c r="G10" s="5">
        <f>COUNTIFS('6. Candidatures &amp; Entretiens'!I2:I200,"Tsiky",'6. Candidatures &amp; Entretiens'!H2:H200,"Fait")</f>
        <v/>
      </c>
      <c r="H10" s="5">
        <f>COUNTIFS('6. Candidatures &amp; Entretiens'!I2:I200,"Miora",'6. Candidatures &amp; Entretiens'!H2:H200,"Fait")</f>
        <v/>
      </c>
      <c r="I10" s="5">
        <f>COUNTIFS('6. Candidatures &amp; Entretiens'!I2:I200,"Andriantsoa",'6. Candidatures &amp; Entretiens'!H2:H200,"Fait")</f>
        <v/>
      </c>
    </row>
    <row r="11">
      <c r="A11" s="4" t="inlineStr">
        <is>
          <t>7. Propositions &amp; Embauche</t>
        </is>
      </c>
      <c r="B11" s="5">
        <f>COUNTA('7. Propositions &amp; Embauche'!A2:A200)</f>
        <v/>
      </c>
      <c r="C11" s="5">
        <f>COUNTIF('7. Propositions &amp; Embauche'!H2:H200,"En cours")</f>
        <v/>
      </c>
      <c r="D11" s="5">
        <f>COUNTIF('7. Propositions &amp; Embauche'!H2:H200,"Fait")</f>
        <v/>
      </c>
      <c r="E11" s="6">
        <f>IF(B11=0,0,D11/B11)</f>
        <v/>
      </c>
      <c r="F11" s="5">
        <f>COUNTIFS('7. Propositions &amp; Embauche'!I2:I200,"Armando",'7. Propositions &amp; Embauche'!H2:H200,"Fait")</f>
        <v/>
      </c>
      <c r="G11" s="5">
        <f>COUNTIFS('7. Propositions &amp; Embauche'!I2:I200,"Tsiky",'7. Propositions &amp; Embauche'!H2:H200,"Fait")</f>
        <v/>
      </c>
      <c r="H11" s="5">
        <f>COUNTIFS('7. Propositions &amp; Embauche'!I2:I200,"Miora",'7. Propositions &amp; Embauche'!H2:H200,"Fait")</f>
        <v/>
      </c>
      <c r="I11" s="5">
        <f>COUNTIFS('7. Propositions &amp; Embauche'!I2:I200,"Andriantsoa",'7. Propositions &amp; Embauche'!H2:H200,"Fait")</f>
        <v/>
      </c>
    </row>
    <row r="12">
      <c r="A12" s="4" t="inlineStr">
        <is>
          <t>8. Employés &amp; Contrats</t>
        </is>
      </c>
      <c r="B12" s="5">
        <f>COUNTA('8. Employés &amp; Contrats'!A2:A200)</f>
        <v/>
      </c>
      <c r="C12" s="5">
        <f>COUNTIF('8. Employés &amp; Contrats'!H2:H200,"En cours")</f>
        <v/>
      </c>
      <c r="D12" s="5">
        <f>COUNTIF('8. Employés &amp; Contrats'!H2:H200,"Fait")</f>
        <v/>
      </c>
      <c r="E12" s="6">
        <f>IF(B12=0,0,D12/B12)</f>
        <v/>
      </c>
      <c r="F12" s="5">
        <f>COUNTIFS('8. Employés &amp; Contrats'!I2:I200,"Armando",'8. Employés &amp; Contrats'!H2:H200,"Fait")</f>
        <v/>
      </c>
      <c r="G12" s="5">
        <f>COUNTIFS('8. Employés &amp; Contrats'!I2:I200,"Tsiky",'8. Employés &amp; Contrats'!H2:H200,"Fait")</f>
        <v/>
      </c>
      <c r="H12" s="5">
        <f>COUNTIFS('8. Employés &amp; Contrats'!I2:I200,"Miora",'8. Employés &amp; Contrats'!H2:H200,"Fait")</f>
        <v/>
      </c>
      <c r="I12" s="5">
        <f>COUNTIFS('8. Employés &amp; Contrats'!I2:I200,"Andriantsoa",'8. Employés &amp; Contrats'!H2:H200,"Fait")</f>
        <v/>
      </c>
    </row>
    <row r="13">
      <c r="A13" s="4" t="inlineStr">
        <is>
          <t>9. Onboarding</t>
        </is>
      </c>
      <c r="B13" s="5">
        <f>COUNTA('9. Onboarding'!A2:A200)</f>
        <v/>
      </c>
      <c r="C13" s="5">
        <f>COUNTIF('9. Onboarding'!H2:H200,"En cours")</f>
        <v/>
      </c>
      <c r="D13" s="5">
        <f>COUNTIF('9. Onboarding'!H2:H200,"Fait")</f>
        <v/>
      </c>
      <c r="E13" s="6">
        <f>IF(B13=0,0,D13/B13)</f>
        <v/>
      </c>
      <c r="F13" s="5">
        <f>COUNTIFS('9. Onboarding'!I2:I200,"Armando",'9. Onboarding'!H2:H200,"Fait")</f>
        <v/>
      </c>
      <c r="G13" s="5">
        <f>COUNTIFS('9. Onboarding'!I2:I200,"Tsiky",'9. Onboarding'!H2:H200,"Fait")</f>
        <v/>
      </c>
      <c r="H13" s="5">
        <f>COUNTIFS('9. Onboarding'!I2:I200,"Miora",'9. Onboarding'!H2:H200,"Fait")</f>
        <v/>
      </c>
      <c r="I13" s="5">
        <f>COUNTIFS('9. Onboarding'!I2:I200,"Andriantsoa",'9. Onboarding'!H2:H200,"Fait")</f>
        <v/>
      </c>
    </row>
    <row r="14">
      <c r="A14" s="4" t="inlineStr">
        <is>
          <t>10. Tableau de bord &amp; Notifs</t>
        </is>
      </c>
      <c r="B14" s="5">
        <f>COUNTA('10. Tableau de bord &amp; Notifs'!A2:A200)</f>
        <v/>
      </c>
      <c r="C14" s="5">
        <f>COUNTIF('10. Tableau de bord &amp; Notifs'!H2:H200,"En cours")</f>
        <v/>
      </c>
      <c r="D14" s="5">
        <f>COUNTIF('10. Tableau de bord &amp; Notifs'!H2:H200,"Fait")</f>
        <v/>
      </c>
      <c r="E14" s="6">
        <f>IF(B14=0,0,D14/B14)</f>
        <v/>
      </c>
      <c r="F14" s="5">
        <f>COUNTIFS('10. Tableau de bord &amp; Notifs'!I2:I200,"Armando",'10. Tableau de bord &amp; Notifs'!H2:H200,"Fait")</f>
        <v/>
      </c>
      <c r="G14" s="5">
        <f>COUNTIFS('10. Tableau de bord &amp; Notifs'!I2:I200,"Tsiky",'10. Tableau de bord &amp; Notifs'!H2:H200,"Fait")</f>
        <v/>
      </c>
      <c r="H14" s="5">
        <f>COUNTIFS('10. Tableau de bord &amp; Notifs'!I2:I200,"Miora",'10. Tableau de bord &amp; Notifs'!H2:H200,"Fait")</f>
        <v/>
      </c>
      <c r="I14" s="5">
        <f>COUNTIFS('10. Tableau de bord &amp; Notifs'!I2:I200,"Andriantsoa",'10. Tableau de bord &amp; Notifs'!H2:H200,"Fait")</f>
        <v/>
      </c>
    </row>
    <row r="15">
      <c r="A15" s="4" t="inlineStr">
        <is>
          <t>11. Tests &amp; Soutenance</t>
        </is>
      </c>
      <c r="B15" s="5">
        <f>COUNTA('11. Tests &amp; Soutenance'!A2:A200)</f>
        <v/>
      </c>
      <c r="C15" s="5">
        <f>COUNTIF('11. Tests &amp; Soutenance'!H2:H200,"En cours")</f>
        <v/>
      </c>
      <c r="D15" s="5">
        <f>COUNTIF('11. Tests &amp; Soutenance'!H2:H200,"Fait")</f>
        <v/>
      </c>
      <c r="E15" s="6">
        <f>IF(B15=0,0,D15/B15)</f>
        <v/>
      </c>
      <c r="F15" s="5">
        <f>COUNTIFS('11. Tests &amp; Soutenance'!I2:I200,"Armando",'11. Tests &amp; Soutenance'!H2:H200,"Fait")</f>
        <v/>
      </c>
      <c r="G15" s="5">
        <f>COUNTIFS('11. Tests &amp; Soutenance'!I2:I200,"Tsiky",'11. Tests &amp; Soutenance'!H2:H200,"Fait")</f>
        <v/>
      </c>
      <c r="H15" s="5">
        <f>COUNTIFS('11. Tests &amp; Soutenance'!I2:I200,"Miora",'11. Tests &amp; Soutenance'!H2:H200,"Fait")</f>
        <v/>
      </c>
      <c r="I15" s="5">
        <f>COUNTIFS('11. Tests &amp; Soutenance'!I2:I200,"Andriantsoa",'11. Tests &amp; Soutenance'!H2:H200,"Fait")</f>
        <v/>
      </c>
    </row>
    <row r="16">
      <c r="A16" s="7" t="inlineStr">
        <is>
          <t>TOTAL</t>
        </is>
      </c>
      <c r="B16" s="8">
        <f>SUM(B5:B15)</f>
        <v/>
      </c>
      <c r="C16" s="8">
        <f>SUM(C5:C15)</f>
        <v/>
      </c>
      <c r="D16" s="8">
        <f>SUM(D5:D15)</f>
        <v/>
      </c>
      <c r="E16" s="9">
        <f>IF(B16=0,0,D16/B16)</f>
        <v/>
      </c>
      <c r="F16" s="8">
        <f>SUM(F5:F15)</f>
        <v/>
      </c>
      <c r="G16" s="8">
        <f>SUM(G5:G15)</f>
        <v/>
      </c>
      <c r="H16" s="8">
        <f>SUM(H5:H15)</f>
        <v/>
      </c>
      <c r="I16" s="8">
        <f>SUM(I5:I15)</f>
        <v/>
      </c>
    </row>
    <row r="18">
      <c r="A18" s="10" t="inlineStr">
        <is>
          <t>Colonnes par personne = nombre de tâches « Fait » attribuées à cette personne.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95" customWidth="1" min="2" max="2"/>
    <col width="26" customWidth="1" min="3" max="3"/>
  </cols>
  <sheetData>
    <row r="1">
      <c r="A1" s="1" t="inlineStr">
        <is>
          <t>Où mettre les fichiers</t>
        </is>
      </c>
    </row>
    <row r="2" ht="45" customHeight="1">
      <c r="A2" s="2" t="inlineStr">
        <is>
          <t>Abréviations de la colonne « Dossier / fichiers » : java/ = src/main/java/com/mrtovo/ · templates/ = src/main/resources/templates/ · static/ = src/main/resources/static/ · test/ = src/test/java/com/mrtovo/ · resources/ = src/main/resources/. Chaque dossier a un seul propriétaire : pour modifier le fichier d'un autre, on lui demande.</t>
        </is>
      </c>
    </row>
    <row r="4">
      <c r="A4" s="11" t="inlineStr">
        <is>
          <t>Dossier / fichier</t>
        </is>
      </c>
      <c r="B4" s="11" t="inlineStr">
        <is>
          <t>Contenu (noms des fichiers)</t>
        </is>
      </c>
      <c r="C4" s="11" t="inlineStr">
        <is>
          <t>Propriétaire</t>
        </is>
      </c>
    </row>
    <row r="5">
      <c r="A5" s="12" t="inlineStr">
        <is>
          <t>JAVA — src/main/java/com/mrtovo/</t>
        </is>
      </c>
      <c r="B5" s="12" t="inlineStr"/>
      <c r="C5" s="12" t="inlineStr"/>
    </row>
    <row r="6">
      <c r="A6" s="13" t="inlineStr">
        <is>
          <t>MrTovoApplication.java</t>
        </is>
      </c>
      <c r="B6" s="14" t="inlineStr">
        <is>
          <t>Point d'entrée (existe déjà)</t>
        </is>
      </c>
      <c r="C6" s="15" t="inlineStr">
        <is>
          <t>BK0</t>
        </is>
      </c>
    </row>
    <row r="7">
      <c r="A7" s="13" t="inlineStr">
        <is>
          <t>commun/config/</t>
        </is>
      </c>
      <c r="B7" s="14" t="inlineStr">
        <is>
          <t>SecurityConfig.java</t>
        </is>
      </c>
      <c r="C7" s="15" t="inlineStr">
        <is>
          <t>BK0</t>
        </is>
      </c>
    </row>
    <row r="8">
      <c r="A8" s="13" t="inlineStr">
        <is>
          <t>commun/entity/</t>
        </is>
      </c>
      <c r="B8" s="14" t="inlineStr">
        <is>
          <t>EntiteBase, Compte, Role, Notification, Document, JournalAudit</t>
        </is>
      </c>
      <c r="C8" s="15" t="inlineStr">
        <is>
          <t>BK0</t>
        </is>
      </c>
    </row>
    <row r="9">
      <c r="A9" s="13" t="inlineStr">
        <is>
          <t>commun/repository/</t>
        </is>
      </c>
      <c r="B9" s="14" t="inlineStr">
        <is>
          <t>Un …Repository.java par entité</t>
        </is>
      </c>
      <c r="C9" s="15" t="inlineStr">
        <is>
          <t>BK0</t>
        </is>
      </c>
    </row>
    <row r="10">
      <c r="A10" s="13" t="inlineStr">
        <is>
          <t>commun/service/</t>
        </is>
      </c>
      <c r="B10" s="14" t="inlineStr">
        <is>
          <t>CompteDetailsService, StockageFichierService, NotificationService, AuditService, TableauDeBordService</t>
        </is>
      </c>
      <c r="C10" s="15" t="inlineStr">
        <is>
          <t>BK0</t>
        </is>
      </c>
    </row>
    <row r="11">
      <c r="A11" s="13" t="inlineStr">
        <is>
          <t>commun/controller/</t>
        </is>
      </c>
      <c r="B11" s="14" t="inlineStr">
        <is>
          <t>AuthController, DocumentController, NotificationController, TableauDeBordController, ErreurControllerAdvice, UtilisateurConnecteAdvice</t>
        </is>
      </c>
      <c r="C11" s="15" t="inlineStr">
        <is>
          <t>BK0</t>
        </is>
      </c>
    </row>
    <row r="12">
      <c r="A12" s="13" t="inlineStr">
        <is>
          <t>commun/workflow/</t>
        </is>
      </c>
      <c r="B12" s="14" t="inlineStr">
        <is>
          <t>Transition, MoteurStatuts, TransitionInterditeException</t>
        </is>
      </c>
      <c r="C12" s="15" t="inlineStr">
        <is>
          <t>BK0</t>
        </is>
      </c>
    </row>
    <row r="13">
      <c r="A13" s="13" t="inlineStr">
        <is>
          <t>commun/demo/</t>
        </is>
      </c>
      <c r="B13" s="14" t="inlineStr">
        <is>
          <t>DonneesReference, DonneesDemoCommun</t>
        </is>
      </c>
      <c r="C13" s="15" t="inlineStr">
        <is>
          <t>BK0</t>
        </is>
      </c>
    </row>
    <row r="14">
      <c r="A14" s="13" t="inlineStr">
        <is>
          <t>besoin/entity/</t>
        </is>
      </c>
      <c r="B14" s="14" t="inlineStr">
        <is>
          <t>Departement, ServiceDepartement, Poste, Besoin, TypeBesoin, StatutBesoin, Validation</t>
        </is>
      </c>
      <c r="C14" s="15" t="inlineStr">
        <is>
          <t>BK1</t>
        </is>
      </c>
    </row>
    <row r="15">
      <c r="A15" s="13" t="inlineStr">
        <is>
          <t>besoin/repository/</t>
        </is>
      </c>
      <c r="B15" s="14" t="inlineStr">
        <is>
          <t>Un …Repository.java par entité</t>
        </is>
      </c>
      <c r="C15" s="15" t="inlineStr">
        <is>
          <t>BK1</t>
        </is>
      </c>
    </row>
    <row r="16">
      <c r="A16" s="13" t="inlineStr">
        <is>
          <t>besoin/service/</t>
        </is>
      </c>
      <c r="B16" s="14" t="inlineStr">
        <is>
          <t>PosteService, BesoinService, BesoinWorkflow, OuvertureRecrutementService</t>
        </is>
      </c>
      <c r="C16" s="15" t="inlineStr">
        <is>
          <t>BK1</t>
        </is>
      </c>
    </row>
    <row r="17">
      <c r="A17" s="13" t="inlineStr">
        <is>
          <t>besoin/controller/</t>
        </is>
      </c>
      <c r="B17" s="14" t="inlineStr">
        <is>
          <t>PosteController, BesoinController, DepartementController</t>
        </is>
      </c>
      <c r="C17" s="15" t="inlineStr">
        <is>
          <t>BK1</t>
        </is>
      </c>
    </row>
    <row r="18">
      <c r="A18" s="13" t="inlineStr">
        <is>
          <t>besoin/dto/</t>
        </is>
      </c>
      <c r="B18" s="14" t="inlineStr">
        <is>
          <t>BesoinFormulaire, PosteFormulaire</t>
        </is>
      </c>
      <c r="C18" s="15" t="inlineStr">
        <is>
          <t>BK1</t>
        </is>
      </c>
    </row>
    <row r="19">
      <c r="A19" s="13" t="inlineStr">
        <is>
          <t>besoin/demo/</t>
        </is>
      </c>
      <c r="B19" s="14" t="inlineStr">
        <is>
          <t>DonneesDemoBesoin</t>
        </is>
      </c>
      <c r="C19" s="15" t="inlineStr">
        <is>
          <t>BK1</t>
        </is>
      </c>
    </row>
    <row r="20">
      <c r="A20" s="13" t="inlineStr">
        <is>
          <t>recrutement/entity/</t>
        </is>
      </c>
      <c r="B20" s="14" t="inlineStr">
        <is>
          <t>Offre, StatutOffre, Candidat, Candidature, StatutCandidature, Entretien, EvaluationCandidat</t>
        </is>
      </c>
      <c r="C20" s="15" t="inlineStr">
        <is>
          <t>BK2</t>
        </is>
      </c>
    </row>
    <row r="21">
      <c r="A21" s="13" t="inlineStr">
        <is>
          <t>recrutement/repository/</t>
        </is>
      </c>
      <c r="B21" s="14" t="inlineStr">
        <is>
          <t>Un …Repository.java par entité</t>
        </is>
      </c>
      <c r="C21" s="15" t="inlineStr">
        <is>
          <t>BK2</t>
        </is>
      </c>
    </row>
    <row r="22">
      <c r="A22" s="13" t="inlineStr">
        <is>
          <t>recrutement/service/</t>
        </is>
      </c>
      <c r="B22" s="14" t="inlineStr">
        <is>
          <t>OffreService, OffreWorkflow, CandidatureService, CandidatureWorkflow, EntretienService, EvaluationService</t>
        </is>
      </c>
      <c r="C22" s="15" t="inlineStr">
        <is>
          <t>BK2</t>
        </is>
      </c>
    </row>
    <row r="23">
      <c r="A23" s="13" t="inlineStr">
        <is>
          <t>recrutement/controller/</t>
        </is>
      </c>
      <c r="B23" s="14" t="inlineStr">
        <is>
          <t>PublicController, EspaceCandidatController, OffreController, CandidatureController, EntretienController, EvaluationController, CandidatController</t>
        </is>
      </c>
      <c r="C23" s="15" t="inlineStr">
        <is>
          <t>BK2</t>
        </is>
      </c>
    </row>
    <row r="24">
      <c r="A24" s="13" t="inlineStr">
        <is>
          <t>recrutement/dto/</t>
        </is>
      </c>
      <c r="B24" s="14" t="inlineStr">
        <is>
          <t>OffreFormulaire, CandidatureFormulaire, EntretienFormulaire, EvaluationFormulaire</t>
        </is>
      </c>
      <c r="C24" s="15" t="inlineStr">
        <is>
          <t>BK2</t>
        </is>
      </c>
    </row>
    <row r="25">
      <c r="A25" s="13" t="inlineStr">
        <is>
          <t>recrutement/demo/</t>
        </is>
      </c>
      <c r="B25" s="14" t="inlineStr">
        <is>
          <t>DonneesDemoRecrutement</t>
        </is>
      </c>
      <c r="C25" s="15" t="inlineStr">
        <is>
          <t>BK2</t>
        </is>
      </c>
    </row>
    <row r="26">
      <c r="A26" s="13" t="inlineStr">
        <is>
          <t>embauche/entity/</t>
        </is>
      </c>
      <c r="B26" s="14" t="inlineStr">
        <is>
          <t>Proposition, StatutProposition, Employe, Contrat, StatutContrat, TypeContrat, HistoriqueEmploye</t>
        </is>
      </c>
      <c r="C26" s="15" t="inlineStr">
        <is>
          <t>BK3</t>
        </is>
      </c>
    </row>
    <row r="27">
      <c r="A27" s="13" t="inlineStr">
        <is>
          <t>embauche/repository/</t>
        </is>
      </c>
      <c r="B27" s="14" t="inlineStr">
        <is>
          <t>Un …Repository.java par entité</t>
        </is>
      </c>
      <c r="C27" s="15" t="inlineStr">
        <is>
          <t>BK3</t>
        </is>
      </c>
    </row>
    <row r="28">
      <c r="A28" s="13" t="inlineStr">
        <is>
          <t>embauche/service/</t>
        </is>
      </c>
      <c r="B28" s="14" t="inlineStr">
        <is>
          <t>PropositionService, MatriculeService, EmbaucheService, EmployeService, ContratService, ContratWorkflow</t>
        </is>
      </c>
      <c r="C28" s="15" t="inlineStr">
        <is>
          <t>BK3</t>
        </is>
      </c>
    </row>
    <row r="29">
      <c r="A29" s="13" t="inlineStr">
        <is>
          <t>embauche/controller/</t>
        </is>
      </c>
      <c r="B29" s="14" t="inlineStr">
        <is>
          <t>PropositionController, PropositionCandidatController, EmployeController, ContratController</t>
        </is>
      </c>
      <c r="C29" s="15" t="inlineStr">
        <is>
          <t>BK3</t>
        </is>
      </c>
    </row>
    <row r="30">
      <c r="A30" s="13" t="inlineStr">
        <is>
          <t>embauche/dto/</t>
        </is>
      </c>
      <c r="B30" s="14" t="inlineStr">
        <is>
          <t>PropositionFormulaire, ContratFormulaire</t>
        </is>
      </c>
      <c r="C30" s="15" t="inlineStr">
        <is>
          <t>BK3</t>
        </is>
      </c>
    </row>
    <row r="31">
      <c r="A31" s="13" t="inlineStr">
        <is>
          <t>embauche/demo/</t>
        </is>
      </c>
      <c r="B31" s="14" t="inlineStr">
        <is>
          <t>DonneesDemoEmbauche</t>
        </is>
      </c>
      <c r="C31" s="15" t="inlineStr">
        <is>
          <t>BK3</t>
        </is>
      </c>
    </row>
    <row r="32">
      <c r="A32" s="13" t="inlineStr">
        <is>
          <t>onboarding/entity/</t>
        </is>
      </c>
      <c r="B32" s="14" t="inlineStr">
        <is>
          <t>Onboarding, OnboardingTache, ModeleTache (P3)</t>
        </is>
      </c>
      <c r="C32" s="15" t="inlineStr">
        <is>
          <t>BK3</t>
        </is>
      </c>
    </row>
    <row r="33">
      <c r="A33" s="13" t="inlineStr">
        <is>
          <t>onboarding/repository/</t>
        </is>
      </c>
      <c r="B33" s="14" t="inlineStr">
        <is>
          <t>Un …Repository.java par entité</t>
        </is>
      </c>
      <c r="C33" s="15" t="inlineStr">
        <is>
          <t>BK3</t>
        </is>
      </c>
    </row>
    <row r="34">
      <c r="A34" s="13" t="inlineStr">
        <is>
          <t>onboarding/service/</t>
        </is>
      </c>
      <c r="B34" s="14" t="inlineStr">
        <is>
          <t>OnboardingService</t>
        </is>
      </c>
      <c r="C34" s="15" t="inlineStr">
        <is>
          <t>BK3</t>
        </is>
      </c>
    </row>
    <row r="35">
      <c r="A35" s="13" t="inlineStr">
        <is>
          <t>onboarding/controller/</t>
        </is>
      </c>
      <c r="B35" s="14" t="inlineStr">
        <is>
          <t>OnboardingController, ModeleOnboardingController (P3)</t>
        </is>
      </c>
      <c r="C35" s="15" t="inlineStr">
        <is>
          <t>BK3</t>
        </is>
      </c>
    </row>
    <row r="36">
      <c r="A36" s="13" t="inlineStr">
        <is>
          <t>onboarding/demo/</t>
        </is>
      </c>
      <c r="B36" s="14" t="inlineStr">
        <is>
          <t>DonneesDemoOnboarding</t>
        </is>
      </c>
      <c r="C36" s="15" t="inlineStr">
        <is>
          <t>BK3</t>
        </is>
      </c>
    </row>
    <row r="37">
      <c r="A37" s="12" t="inlineStr">
        <is>
          <t>TEMPLATES — src/main/resources/templates/</t>
        </is>
      </c>
      <c r="B37" s="12" t="inlineStr"/>
      <c r="C37" s="12" t="inlineStr"/>
    </row>
    <row r="38">
      <c r="A38" s="13" t="inlineStr">
        <is>
          <t>fragments/</t>
        </is>
      </c>
      <c r="B38" s="14" t="inlineStr">
        <is>
          <t>layout, entete, menu, pied, composants, frise, stepper, progression, formats</t>
        </is>
      </c>
      <c r="C38" s="15" t="inlineStr">
        <is>
          <t>FR0</t>
        </is>
      </c>
    </row>
    <row r="39">
      <c r="A39" s="13" t="inlineStr">
        <is>
          <t>auth/</t>
        </is>
      </c>
      <c r="B39" s="14" t="inlineStr">
        <is>
          <t>connexion, inscription</t>
        </is>
      </c>
      <c r="C39" s="15" t="inlineStr">
        <is>
          <t>FR0</t>
        </is>
      </c>
    </row>
    <row r="40">
      <c r="A40" s="13" t="inlineStr">
        <is>
          <t>erreurs/</t>
        </is>
      </c>
      <c r="B40" s="14" t="inlineStr">
        <is>
          <t>403, 404, 500</t>
        </is>
      </c>
      <c r="C40" s="15" t="inlineStr">
        <is>
          <t>FR0</t>
        </is>
      </c>
    </row>
    <row r="41">
      <c r="A41" s="13" t="inlineStr">
        <is>
          <t>dashboard/</t>
        </is>
      </c>
      <c r="B41" s="14" t="inlineStr">
        <is>
          <t>accueil</t>
        </is>
      </c>
      <c r="C41" s="15" t="inlineStr">
        <is>
          <t>FR0</t>
        </is>
      </c>
    </row>
    <row r="42">
      <c r="A42" s="13" t="inlineStr">
        <is>
          <t>notifications/</t>
        </is>
      </c>
      <c r="B42" s="14" t="inlineStr">
        <is>
          <t>liste</t>
        </is>
      </c>
      <c r="C42" s="15" t="inlineStr">
        <is>
          <t>FR0</t>
        </is>
      </c>
    </row>
    <row r="43">
      <c r="A43" s="13" t="inlineStr">
        <is>
          <t>besoins/</t>
        </is>
      </c>
      <c r="B43" s="14" t="inlineStr">
        <is>
          <t>liste, formulaire, detail</t>
        </is>
      </c>
      <c r="C43" s="15" t="inlineStr">
        <is>
          <t>FR0</t>
        </is>
      </c>
    </row>
    <row r="44">
      <c r="A44" s="13" t="inlineStr">
        <is>
          <t>postes/</t>
        </is>
      </c>
      <c r="B44" s="14" t="inlineStr">
        <is>
          <t>liste, detail, formulaire</t>
        </is>
      </c>
      <c r="C44" s="15" t="inlineStr">
        <is>
          <t>FR0</t>
        </is>
      </c>
    </row>
    <row r="45">
      <c r="A45" s="13" t="inlineStr">
        <is>
          <t>departements/</t>
        </is>
      </c>
      <c r="B45" s="14" t="inlineStr">
        <is>
          <t>liste, detail</t>
        </is>
      </c>
      <c r="C45" s="15" t="inlineStr">
        <is>
          <t>FR0</t>
        </is>
      </c>
    </row>
    <row r="46">
      <c r="A46" s="13" t="inlineStr">
        <is>
          <t>admin/</t>
        </is>
      </c>
      <c r="B46" s="14" t="inlineStr">
        <is>
          <t>comptes, audit (P3)</t>
        </is>
      </c>
      <c r="C46" s="15" t="inlineStr">
        <is>
          <t>FR0</t>
        </is>
      </c>
    </row>
    <row r="47">
      <c r="A47" s="13" t="inlineStr">
        <is>
          <t>public/</t>
        </is>
      </c>
      <c r="B47" s="14" t="inlineStr">
        <is>
          <t>layout-public, accueil, offres, offre-detail, confirmation</t>
        </is>
      </c>
      <c r="C47" s="15" t="inlineStr">
        <is>
          <t>FR1</t>
        </is>
      </c>
    </row>
    <row r="48">
      <c r="A48" s="13" t="inlineStr">
        <is>
          <t>espace-candidat/</t>
        </is>
      </c>
      <c r="B48" s="14" t="inlineStr">
        <is>
          <t>candidatures, proposition</t>
        </is>
      </c>
      <c r="C48" s="15" t="inlineStr">
        <is>
          <t>FR1</t>
        </is>
      </c>
    </row>
    <row r="49">
      <c r="A49" s="13" t="inlineStr">
        <is>
          <t>offres/</t>
        </is>
      </c>
      <c r="B49" s="14" t="inlineStr">
        <is>
          <t>liste, detail, formulaire</t>
        </is>
      </c>
      <c r="C49" s="15" t="inlineStr">
        <is>
          <t>FR1</t>
        </is>
      </c>
    </row>
    <row r="50">
      <c r="A50" s="13" t="inlineStr">
        <is>
          <t>candidatures/</t>
        </is>
      </c>
      <c r="B50" s="14" t="inlineStr">
        <is>
          <t>liste, detail, kanban (P3)</t>
        </is>
      </c>
      <c r="C50" s="15" t="inlineStr">
        <is>
          <t>FR1</t>
        </is>
      </c>
    </row>
    <row r="51">
      <c r="A51" s="13" t="inlineStr">
        <is>
          <t>candidats/</t>
        </is>
      </c>
      <c r="B51" s="14" t="inlineStr">
        <is>
          <t>detail</t>
        </is>
      </c>
      <c r="C51" s="15" t="inlineStr">
        <is>
          <t>FR1</t>
        </is>
      </c>
    </row>
    <row r="52">
      <c r="A52" s="13" t="inlineStr">
        <is>
          <t>entretiens/</t>
        </is>
      </c>
      <c r="B52" s="14" t="inlineStr">
        <is>
          <t>formulaire, agenda (P3)</t>
        </is>
      </c>
      <c r="C52" s="15" t="inlineStr">
        <is>
          <t>FR1</t>
        </is>
      </c>
    </row>
    <row r="53">
      <c r="A53" s="13" t="inlineStr">
        <is>
          <t>evaluations/</t>
        </is>
      </c>
      <c r="B53" s="14" t="inlineStr">
        <is>
          <t>formulaire, comparaison</t>
        </is>
      </c>
      <c r="C53" s="15" t="inlineStr">
        <is>
          <t>FR1</t>
        </is>
      </c>
    </row>
    <row r="54">
      <c r="A54" s="13" t="inlineStr">
        <is>
          <t>propositions/</t>
        </is>
      </c>
      <c r="B54" s="14" t="inlineStr">
        <is>
          <t>formulaire, detail, recapitulatif</t>
        </is>
      </c>
      <c r="C54" s="15" t="inlineStr">
        <is>
          <t>FR2</t>
        </is>
      </c>
    </row>
    <row r="55">
      <c r="A55" s="13" t="inlineStr">
        <is>
          <t>employes/</t>
        </is>
      </c>
      <c r="B55" s="14" t="inlineStr">
        <is>
          <t>liste, dossier, changer-poste</t>
        </is>
      </c>
      <c r="C55" s="15" t="inlineStr">
        <is>
          <t>FR2</t>
        </is>
      </c>
    </row>
    <row r="56">
      <c r="A56" s="13" t="inlineStr">
        <is>
          <t>contrats/</t>
        </is>
      </c>
      <c r="B56" s="14" t="inlineStr">
        <is>
          <t>formulaire</t>
        </is>
      </c>
      <c r="C56" s="15" t="inlineStr">
        <is>
          <t>FR2</t>
        </is>
      </c>
    </row>
    <row r="57">
      <c r="A57" s="13" t="inlineStr">
        <is>
          <t>onboarding/</t>
        </is>
      </c>
      <c r="B57" s="14" t="inlineStr">
        <is>
          <t>checklist, mes-taches, modeles (P3)</t>
        </is>
      </c>
      <c r="C57" s="15" t="inlineStr">
        <is>
          <t>FR2</t>
        </is>
      </c>
    </row>
    <row r="58">
      <c r="A58" s="12" t="inlineStr">
        <is>
          <t>STATIC — src/main/resources/static/</t>
        </is>
      </c>
      <c r="B58" s="12" t="inlineStr"/>
      <c r="C58" s="12" t="inlineStr"/>
    </row>
    <row r="59">
      <c r="A59" s="13" t="inlineStr">
        <is>
          <t>css/style.css</t>
        </is>
      </c>
      <c r="B59" s="14" t="inlineStr">
        <is>
          <t>Charte, variables, styles communs</t>
        </is>
      </c>
      <c r="C59" s="15" t="inlineStr">
        <is>
          <t>FR0</t>
        </is>
      </c>
    </row>
    <row r="60">
      <c r="A60" s="13" t="inlineStr">
        <is>
          <t>css/recrutement.css</t>
        </is>
      </c>
      <c r="B60" s="14" t="inlineStr">
        <is>
          <t>Pages publiques et recrutement</t>
        </is>
      </c>
      <c r="C60" s="15" t="inlineStr">
        <is>
          <t>FR1</t>
        </is>
      </c>
    </row>
    <row r="61">
      <c r="A61" s="13" t="inlineStr">
        <is>
          <t>css/rh.css</t>
        </is>
      </c>
      <c r="B61" s="14" t="inlineStr">
        <is>
          <t>Employés, contrats, onboarding</t>
        </is>
      </c>
      <c r="C61" s="15" t="inlineStr">
        <is>
          <t>FR2</t>
        </is>
      </c>
    </row>
    <row r="62">
      <c r="A62" s="13" t="inlineStr">
        <is>
          <t>js/app.js</t>
        </is>
      </c>
      <c r="B62" s="14" t="inlineStr">
        <is>
          <t>Script commun (confirmation, anti double clic, formulaire de besoin)</t>
        </is>
      </c>
      <c r="C62" s="15" t="inlineStr">
        <is>
          <t>FR0</t>
        </is>
      </c>
    </row>
    <row r="63">
      <c r="A63" s="13" t="inlineStr">
        <is>
          <t>js/recrutement.js</t>
        </is>
      </c>
      <c r="B63" s="14" t="inlineStr">
        <is>
          <t>Contrôle du CV</t>
        </is>
      </c>
      <c r="C63" s="15" t="inlineStr">
        <is>
          <t>FR1</t>
        </is>
      </c>
    </row>
    <row r="64">
      <c r="A64" s="12" t="inlineStr">
        <is>
          <t>RESSOURCES — src/main/resources/</t>
        </is>
      </c>
      <c r="B64" s="12" t="inlineStr"/>
      <c r="C64" s="12" t="inlineStr"/>
    </row>
    <row r="65">
      <c r="A65" s="13" t="inlineStr">
        <is>
          <t>application.properties</t>
        </is>
      </c>
      <c r="B65" s="14" t="inlineStr">
        <is>
          <t>Config MySQL commune (existe déjà)</t>
        </is>
      </c>
      <c r="C65" s="15" t="inlineStr">
        <is>
          <t>BK0</t>
        </is>
      </c>
    </row>
    <row r="66">
      <c r="A66" s="13" t="inlineStr">
        <is>
          <t>application-dev.properties</t>
        </is>
      </c>
      <c r="B66" s="14" t="inlineStr">
        <is>
          <t>Base mr_tovo, données de démo</t>
        </is>
      </c>
      <c r="C66" s="15" t="inlineStr">
        <is>
          <t>BK0</t>
        </is>
      </c>
    </row>
    <row r="67">
      <c r="A67" s="13" t="inlineStr">
        <is>
          <t>application-test.properties</t>
        </is>
      </c>
      <c r="B67" s="14" t="inlineStr">
        <is>
          <t>Base mr_tovo_test</t>
        </is>
      </c>
      <c r="C67" s="15" t="inlineStr">
        <is>
          <t>BK0</t>
        </is>
      </c>
    </row>
    <row r="68">
      <c r="A68" s="13" t="inlineStr">
        <is>
          <t>messages.properties</t>
        </is>
      </c>
      <c r="B68" s="14" t="inlineStr">
        <is>
          <t>Messages de validation en français</t>
        </is>
      </c>
      <c r="C68" s="15" t="inlineStr">
        <is>
          <t>BK0</t>
        </is>
      </c>
    </row>
    <row r="69">
      <c r="A69" s="12" t="inlineStr">
        <is>
          <t>TESTS — src/test/java/com/mrtovo/</t>
        </is>
      </c>
      <c r="B69" s="12" t="inlineStr"/>
      <c r="C69" s="12" t="inlineStr"/>
    </row>
    <row r="70">
      <c r="A70" s="13" t="inlineStr">
        <is>
          <t>commun/</t>
        </is>
      </c>
      <c r="B70" s="14" t="inlineStr">
        <is>
          <t>MoteurStatutsTests, SecuriteTests</t>
        </is>
      </c>
      <c r="C70" s="15" t="inlineStr">
        <is>
          <t>BK0</t>
        </is>
      </c>
    </row>
    <row r="71">
      <c r="A71" s="13" t="inlineStr">
        <is>
          <t>besoin/</t>
        </is>
      </c>
      <c r="B71" s="14" t="inlineStr">
        <is>
          <t>BesoinWorkflowTests, BesoinControllerTests</t>
        </is>
      </c>
      <c r="C71" s="15" t="inlineStr">
        <is>
          <t>BK1</t>
        </is>
      </c>
    </row>
    <row r="72">
      <c r="A72" s="13" t="inlineStr">
        <is>
          <t>recrutement/</t>
        </is>
      </c>
      <c r="B72" s="14" t="inlineStr">
        <is>
          <t>CandidatureServiceTests, EvaluationServiceTests</t>
        </is>
      </c>
      <c r="C72" s="15" t="inlineStr">
        <is>
          <t>BK2</t>
        </is>
      </c>
    </row>
    <row r="73">
      <c r="A73" s="13" t="inlineStr">
        <is>
          <t>embauche/</t>
        </is>
      </c>
      <c r="B73" s="14" t="inlineStr">
        <is>
          <t>EmbaucheServiceTests, ContratServiceTests, MatriculeServiceTests</t>
        </is>
      </c>
      <c r="C73" s="15" t="inlineStr">
        <is>
          <t>BK3</t>
        </is>
      </c>
    </row>
    <row r="74">
      <c r="A74" s="12" t="inlineStr">
        <is>
          <t>AUTRES</t>
        </is>
      </c>
      <c r="B74" s="12" t="inlineStr"/>
      <c r="C74" s="12" t="inlineStr"/>
    </row>
    <row r="75">
      <c r="A75" s="13" t="inlineStr">
        <is>
          <t>docs/</t>
        </is>
      </c>
      <c r="B75" s="14" t="inlineStr">
        <is>
          <t>userflow.png, personas.pdf, soutenance.pdf</t>
        </is>
      </c>
      <c r="C75" s="15" t="inlineStr">
        <is>
          <t>DS1 / DS2</t>
        </is>
      </c>
    </row>
    <row r="76">
      <c r="A76" s="13" t="inlineStr">
        <is>
          <t>README.md</t>
        </is>
      </c>
      <c r="B76" s="14" t="inlineStr">
        <is>
          <t>Lancement, comptes de démo, moteur de statuts, fragments</t>
        </is>
      </c>
      <c r="C76" s="15" t="inlineStr">
        <is>
          <t>BK0 (+ FR0 pour les fragments)</t>
        </is>
      </c>
    </row>
    <row r="77">
      <c r="A77" s="13" t="inlineStr">
        <is>
          <t>TODO.md</t>
        </is>
      </c>
      <c r="B77" s="14" t="inlineStr">
        <is>
          <t>Référence fonctionnelle</t>
        </is>
      </c>
      <c r="C77" s="15" t="inlineStr">
        <is>
          <t>Tout le monde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T-01</t>
        </is>
      </c>
      <c r="B2" s="18" t="inlineStr">
        <is>
          <t>Tous</t>
        </is>
      </c>
      <c r="C2" s="19" t="inlineStr">
        <is>
          <t>Cloner et lancer le projet en local</t>
        </is>
      </c>
      <c r="D2" s="20" t="inlineStr">
        <is>
          <t>Installer MySQL en local (base mr_tovo créée automatiquement), régler DB_USERNAME / DB_PASSWORD si besoin, lancer ./mvnw spring-boot:run, vérifier que la page d'accueil répond.</t>
        </is>
      </c>
      <c r="E2" s="21" t="inlineStr">
        <is>
          <t>README.md (lecture)
resources/application.properties (DB_USERNAME / DB_PASSWORD)</t>
        </is>
      </c>
      <c r="F2" s="17" t="inlineStr">
        <is>
          <t>P1</t>
        </is>
      </c>
      <c r="G2" s="20" t="inlineStr">
        <is>
          <t>Lundi 9h</t>
        </is>
      </c>
      <c r="H2" s="17" t="inlineStr"/>
      <c r="I2" s="17" t="inlineStr"/>
    </row>
    <row r="3">
      <c r="A3" s="17" t="inlineStr">
        <is>
          <t>T-02</t>
        </is>
      </c>
      <c r="B3" s="18" t="inlineStr">
        <is>
          <t>Tous</t>
        </is>
      </c>
      <c r="C3" s="19" t="inlineStr">
        <is>
          <t>Compléter le MCD (objets ✏️)</t>
        </is>
      </c>
      <c r="D3" s="20" t="inlineStr">
        <is>
          <t>Compléter dans Figma ET dans TODO.md section 2 : Offre, Candidature, Proposition, Statut_…, Compte, Candidat, Validation, Entretien, Evaluation_Candidat, Onboarding, Onboarding_Tache, Document. Partir des champs proposés dans TODO.md.</t>
        </is>
      </c>
      <c r="E3" s="21" t="inlineStr">
        <is>
          <t>Figma : board « userflow » (MCD)
TODO.md section 2</t>
        </is>
      </c>
      <c r="F3" s="17" t="inlineStr">
        <is>
          <t>P1</t>
        </is>
      </c>
      <c r="G3" s="20" t="inlineStr">
        <is>
          <t>Lundi 9h</t>
        </is>
      </c>
      <c r="H3" s="17" t="inlineStr"/>
      <c r="I3" s="17" t="inlineStr"/>
    </row>
    <row r="4">
      <c r="A4" s="17" t="inlineStr">
        <is>
          <t>T-03</t>
        </is>
      </c>
      <c r="B4" s="18" t="inlineStr">
        <is>
          <t>Tous</t>
        </is>
      </c>
      <c r="C4" s="19" t="inlineStr">
        <is>
          <t>Trancher circuit du besoin, statuts et rôles</t>
        </is>
      </c>
      <c r="D4" s="20" t="inlineStr">
        <is>
          <t>Décider Finance seule ou Finance + Direction, ajouter « terminé » à Statut_Contrat ou non, liste des rôles. Écrire la décision dans TODO.md sections 3 et 4.</t>
        </is>
      </c>
      <c r="E4" s="21" t="inlineStr">
        <is>
          <t>TODO.md sections 3 et 4</t>
        </is>
      </c>
      <c r="F4" s="17" t="inlineStr">
        <is>
          <t>P1</t>
        </is>
      </c>
      <c r="G4" s="20" t="inlineStr">
        <is>
          <t>Lundi 9h</t>
        </is>
      </c>
      <c r="H4" s="17" t="inlineStr"/>
      <c r="I4" s="17" t="inlineStr"/>
    </row>
    <row r="5">
      <c r="A5" s="17" t="inlineStr">
        <is>
          <t>T-04</t>
        </is>
      </c>
      <c r="B5" s="18" t="inlineStr">
        <is>
          <t>Tous</t>
        </is>
      </c>
      <c r="C5" s="19" t="inlineStr">
        <is>
          <t>Valider le contrat d'interface Back ↔ Front</t>
        </is>
      </c>
      <c r="D5" s="20" t="inlineStr">
        <is>
          <t>Relire TODO.md section 7 (URL, templates, noms des données) et valider tel quel ou corriger.</t>
        </is>
      </c>
      <c r="E5" s="21" t="inlineStr">
        <is>
          <t>TODO.md section 7
Feuille : onglet « Dossiers »</t>
        </is>
      </c>
      <c r="F5" s="17" t="inlineStr">
        <is>
          <t>P1</t>
        </is>
      </c>
      <c r="G5" s="20" t="inlineStr">
        <is>
          <t>Lundi 9h</t>
        </is>
      </c>
      <c r="H5" s="17" t="inlineStr"/>
      <c r="I5" s="17" t="inlineStr"/>
    </row>
    <row r="6">
      <c r="A6" s="17" t="inlineStr">
        <is>
          <t>T-05</t>
        </is>
      </c>
      <c r="B6" s="18" t="inlineStr">
        <is>
          <t>Tous</t>
        </is>
      </c>
      <c r="C6" s="19" t="inlineStr">
        <is>
          <t>Décisions techniques</t>
        </is>
      </c>
      <c r="D6" s="20" t="inlineStr">
        <is>
          <t>Base MySQL (déjà configurée), schéma auto-généré (ddl-auto=update), Bootstrap, format du matricule (ex. AAAA0001), comptes de démo (même mot de passe). Écrire dans TODO.md.</t>
        </is>
      </c>
      <c r="E6" s="21" t="inlineStr">
        <is>
          <t>TODO.md section 6 (T-05)</t>
        </is>
      </c>
      <c r="F6" s="17" t="inlineStr">
        <is>
          <t>P1</t>
        </is>
      </c>
      <c r="G6" s="20" t="inlineStr">
        <is>
          <t>Lundi 9h</t>
        </is>
      </c>
      <c r="H6" s="17" t="inlineStr"/>
      <c r="I6" s="17" t="inlineStr"/>
    </row>
    <row r="7">
      <c r="A7" s="17" t="inlineStr">
        <is>
          <t>T-07</t>
        </is>
      </c>
      <c r="B7" s="18" t="inlineStr">
        <is>
          <t>Tous</t>
        </is>
      </c>
      <c r="C7" s="19" t="inlineStr">
        <is>
          <t>Règles Git</t>
        </is>
      </c>
      <c r="D7" s="20" t="inlineStr">
        <is>
          <t>Branche main protégée, une branche par tâche nommée avec l'ID, PR relue par une personne, fusion avant 17h30.</t>
        </is>
      </c>
      <c r="E7" s="21" t="inlineStr">
        <is>
          <t>Réglages du dépôt GitHub (protection de main)</t>
        </is>
      </c>
      <c r="F7" s="17" t="inlineStr">
        <is>
          <t>P1</t>
        </is>
      </c>
      <c r="G7" s="20" t="inlineStr">
        <is>
          <t>Lundi 9h</t>
        </is>
      </c>
      <c r="H7" s="17" t="inlineStr"/>
      <c r="I7" s="17" t="inlineStr"/>
    </row>
    <row r="8">
      <c r="A8" s="17" t="inlineStr">
        <is>
          <t>T-08</t>
        </is>
      </c>
      <c r="B8" s="18" t="inlineStr">
        <is>
          <t>Tous</t>
        </is>
      </c>
      <c r="C8" s="19" t="inlineStr">
        <is>
          <t>Groupe de discussion de l'équipe</t>
        </is>
      </c>
      <c r="D8" s="20" t="inlineStr">
        <is>
          <t>Créer le groupe et y partager le lien de cette feuille et du Figma.</t>
        </is>
      </c>
      <c r="E8" s="21" t="inlineStr">
        <is>
          <t>—</t>
        </is>
      </c>
      <c r="F8" s="17" t="inlineStr">
        <is>
          <t>P1</t>
        </is>
      </c>
      <c r="G8" s="20" t="inlineStr">
        <is>
          <t>Lundi 9h</t>
        </is>
      </c>
      <c r="H8" s="17" t="inlineStr"/>
      <c r="I8" s="17" t="inlineStr"/>
    </row>
  </sheetData>
  <autoFilter ref="A1:I8"/>
  <conditionalFormatting sqref="A2:I8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8" showDropDown="0" showInputMessage="0" showErrorMessage="0" allowBlank="1" type="list">
      <formula1>"En cours,Fait"</formula1>
    </dataValidation>
    <dataValidation sqref="I2:I8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BK0-01</t>
        </is>
      </c>
      <c r="B2" s="22" t="inlineStr">
        <is>
          <t>Back</t>
        </is>
      </c>
      <c r="C2" s="19" t="inlineStr">
        <is>
          <t>Socle technique (pom, config, packages)</t>
        </is>
      </c>
      <c r="D2" s="20" t="inlineStr">
        <is>
          <t>MySQL + JPA déjà en place. Ajouter dans pom.xml : Spring Security, Thymeleaf extras. Profils dev (base mr_tovo) / test (base mr_tovo_test séparée). Un package vide par domaine. Classe de base des entités (id, dates, auteur). Sécurité ouverte temporairement.</t>
        </is>
      </c>
      <c r="E2" s="21" t="inlineStr">
        <is>
          <t>pom.xml
resources/application.properties
resources/application-dev.properties
resources/application-test.properties
java/commun/entity/EntiteBase.java
java/commun/config/SecurityConfig.java (tout ouvert)
Dossiers vides (+ .gitkeep) : java/{commun, besoin, recrutement, embauche, onboarding}/{entity, repository, service, controller, dto, demo}/
Déplacer java/controller/HomeController.java → java/recrutement/controller/PublicController.java</t>
        </is>
      </c>
      <c r="F2" s="17" t="inlineStr">
        <is>
          <t>P1</t>
        </is>
      </c>
      <c r="G2" s="20" t="inlineStr">
        <is>
          <t>Lundi matin</t>
        </is>
      </c>
      <c r="H2" s="17" t="inlineStr"/>
      <c r="I2" s="17" t="inlineStr"/>
    </row>
    <row r="3">
      <c r="A3" s="17" t="inlineStr">
        <is>
          <t>BK0-02</t>
        </is>
      </c>
      <c r="B3" s="22" t="inlineStr">
        <is>
          <t>Back</t>
        </is>
      </c>
      <c r="C3" s="19" t="inlineStr">
        <is>
          <t>Entités communes + données de démo</t>
        </is>
      </c>
      <c r="D3" s="20" t="inlineStr">
        <is>
          <t>Entités Compte, Rôle, Notification, Document, Journal_Audit. Chargeur de données de démo (un fichier par domaine, profil dev). Valeurs des tables Statut_… et Type_…. Comptes : admin, rh, finance, manager1, manager2, employé, candidat1.</t>
        </is>
      </c>
      <c r="E3" s="21" t="inlineStr">
        <is>
          <t>java/commun/entity/Compte.java, Role.java, Notification.java, Document.java, JournalAudit.java
java/commun/repository/CompteRepository.java, RoleRepository.java, NotificationRepository.java, DocumentRepository.java, JournalAuditRepository.java
java/commun/demo/DonneesReference.java (valeurs Statut_… et Type_…)
java/commun/demo/DonneesDemoCommun.java (comptes de démo)</t>
        </is>
      </c>
      <c r="F3" s="17" t="inlineStr">
        <is>
          <t>P1</t>
        </is>
      </c>
      <c r="G3" s="20" t="inlineStr">
        <is>
          <t>Lundi après-midi</t>
        </is>
      </c>
      <c r="H3" s="17" t="inlineStr"/>
      <c r="I3" s="17" t="inlineStr"/>
    </row>
    <row r="4">
      <c r="A4" s="17" t="inlineStr">
        <is>
          <t>BK0-03</t>
        </is>
      </c>
      <c r="B4" s="22" t="inlineStr">
        <is>
          <t>Back</t>
        </is>
      </c>
      <c r="C4" s="19" t="inlineStr">
        <is>
          <t>Moteur de statuts commun</t>
        </is>
      </c>
      <c r="D4" s="20" t="inlineStr">
        <is>
          <t>Déclarer « de → vers, par rôle, condition », refuser les transitions non prévues avec un message clair, calculer actionsPossibles. Expliquer l'usage en 5 lignes dans le README. Testable seul avec un objet factice.</t>
        </is>
      </c>
      <c r="E4" s="21" t="inlineStr">
        <is>
          <t>java/commun/workflow/Transition.java
java/commun/workflow/MoteurStatuts.java
java/commun/workflow/TransitionInterditeException.java
test/commun/workflow/MoteurStatutsTests.java
README.md (section « Moteur de statuts »)</t>
        </is>
      </c>
      <c r="F4" s="17" t="inlineStr">
        <is>
          <t>P1</t>
        </is>
      </c>
      <c r="G4" s="20" t="inlineStr">
        <is>
          <t>Lundi soir</t>
        </is>
      </c>
      <c r="H4" s="17" t="inlineStr"/>
      <c r="I4" s="17" t="inlineStr"/>
    </row>
    <row r="5">
      <c r="A5" s="17" t="inlineStr">
        <is>
          <t>BK0-05</t>
        </is>
      </c>
      <c r="B5" s="22" t="inlineStr">
        <is>
          <t>Back</t>
        </is>
      </c>
      <c r="C5" s="19" t="inlineStr">
        <is>
          <t>Stockage des fichiers (GED)</t>
        </is>
      </c>
      <c r="D5" s="20" t="inlineStr">
        <is>
          <t>Service autonome : dossier configuré hors Git, nom unique, PDF/images/Word, 5 Mo max, téléchargement /documents/{id}. Tester avec un upload de test.</t>
        </is>
      </c>
      <c r="E5" s="21" t="inlineStr">
        <is>
          <t>java/commun/service/StockageFichierService.java
java/commun/controller/DocumentController.java (/documents/{id})
resources/application.properties (mrtovo.fichiers.dossier)</t>
        </is>
      </c>
      <c r="F5" s="17" t="inlineStr">
        <is>
          <t>P1</t>
        </is>
      </c>
      <c r="G5" s="20" t="inlineStr">
        <is>
          <t>Mardi</t>
        </is>
      </c>
      <c r="H5" s="17" t="inlineStr"/>
      <c r="I5" s="17" t="inlineStr"/>
    </row>
    <row r="6">
      <c r="A6" s="17" t="inlineStr">
        <is>
          <t>BK0-06</t>
        </is>
      </c>
      <c r="B6" s="22" t="inlineStr">
        <is>
          <t>Back</t>
        </is>
      </c>
      <c r="C6" s="19" t="inlineStr">
        <is>
          <t>Gestion des erreurs</t>
        </is>
      </c>
      <c r="D6" s="20" t="inlineStr">
        <is>
          <t>Contrôleur d'erreurs vers erreurs/403, 404, 500 (créer des templates minimaux s'ils n'existent pas). Messages de validation en français, aucune trace technique visible.</t>
        </is>
      </c>
      <c r="E6" s="21" t="inlineStr">
        <is>
          <t>java/commun/controller/ErreurControllerAdvice.java
resources/messages.properties (messages de validation en français)</t>
        </is>
      </c>
      <c r="F6" s="17" t="inlineStr">
        <is>
          <t>P1</t>
        </is>
      </c>
      <c r="G6" s="20" t="inlineStr">
        <is>
          <t>Mardi</t>
        </is>
      </c>
      <c r="H6" s="17" t="inlineStr"/>
      <c r="I6" s="17" t="inlineStr"/>
    </row>
    <row r="7">
      <c r="A7" s="17" t="inlineStr">
        <is>
          <t>DS1-01</t>
        </is>
      </c>
      <c r="B7" s="23" t="inlineStr">
        <is>
          <t>Design</t>
        </is>
      </c>
      <c r="C7" s="19" t="inlineStr">
        <is>
          <t>Mini-charte graphique</t>
        </is>
      </c>
      <c r="D7" s="20" t="inlineStr">
        <is>
          <t>Palette (principale, secondaire, fond, texte, succès, alerte, erreur, info), typographie, espacements, icônes. Compatible Bootstrap.</t>
        </is>
      </c>
      <c r="E7" s="21" t="inlineStr">
        <is>
          <t>Figma : page « Charte »</t>
        </is>
      </c>
      <c r="F7" s="17" t="inlineStr">
        <is>
          <t>P1</t>
        </is>
      </c>
      <c r="G7" s="20" t="inlineStr">
        <is>
          <t>Lundi matin</t>
        </is>
      </c>
      <c r="H7" s="17" t="inlineStr"/>
      <c r="I7" s="17" t="inlineStr"/>
    </row>
    <row r="8">
      <c r="A8" s="17" t="inlineStr">
        <is>
          <t>DS1-02</t>
        </is>
      </c>
      <c r="B8" s="23" t="inlineStr">
        <is>
          <t>Design</t>
        </is>
      </c>
      <c r="C8" s="19" t="inlineStr">
        <is>
          <t>Code couleur des statuts</t>
        </is>
      </c>
      <c r="D8" s="20" t="inlineStr">
        <is>
          <t>Tableau statut → couleur → libellé : brouillon gris, en attente bleu, à compléter orange, validé vert, refusé rouge, clôturé gris foncé.</t>
        </is>
      </c>
      <c r="E8" s="21" t="inlineStr">
        <is>
          <t>Figma : page « Charte » (tableau des statuts)</t>
        </is>
      </c>
      <c r="F8" s="17" t="inlineStr">
        <is>
          <t>P1</t>
        </is>
      </c>
      <c r="G8" s="20" t="inlineStr">
        <is>
          <t>Lundi matin</t>
        </is>
      </c>
      <c r="H8" s="17" t="inlineStr"/>
      <c r="I8" s="17" t="inlineStr"/>
    </row>
    <row r="9">
      <c r="A9" s="17" t="inlineStr">
        <is>
          <t>DS1-03</t>
        </is>
      </c>
      <c r="B9" s="23" t="inlineStr">
        <is>
          <t>Design</t>
        </is>
      </c>
      <c r="C9" s="19" t="inlineStr">
        <is>
          <t>Gabarit de page</t>
        </is>
      </c>
      <c r="D9" s="20" t="inlineStr">
        <is>
          <t>En-tête (logo Mr Tovo, utilisateur, cloche, déconnexion), menu latéral par rôle, zone de contenu. Version ordinateur et mobile.</t>
        </is>
      </c>
      <c r="E9" s="21" t="inlineStr">
        <is>
          <t>Figma : page « Gabarit »</t>
        </is>
      </c>
      <c r="F9" s="17" t="inlineStr">
        <is>
          <t>P1</t>
        </is>
      </c>
      <c r="G9" s="20" t="inlineStr">
        <is>
          <t>Lundi après-midi</t>
        </is>
      </c>
      <c r="H9" s="17" t="inlineStr"/>
      <c r="I9" s="17" t="inlineStr"/>
    </row>
    <row r="10">
      <c r="A10" s="17" t="inlineStr">
        <is>
          <t>DS1-06</t>
        </is>
      </c>
      <c r="B10" s="23" t="inlineStr">
        <is>
          <t>Design</t>
        </is>
      </c>
      <c r="C10" s="19" t="inlineStr">
        <is>
          <t>Bibliothèque de composants</t>
        </is>
      </c>
      <c r="D10" s="20" t="inlineStr">
        <is>
          <t>Boutons, champs avec erreur, badge de statut, tableau filtres + pagination, fenêtre de confirmation, flash, fil d'Ariane, frise, stepper, barre de progression, état vide. Chaque état.</t>
        </is>
      </c>
      <c r="E10" s="21" t="inlineStr">
        <is>
          <t>Figma : page « Composants »</t>
        </is>
      </c>
      <c r="F10" s="17" t="inlineStr">
        <is>
          <t>P1</t>
        </is>
      </c>
      <c r="G10" s="20" t="inlineStr">
        <is>
          <t>Mardi matin</t>
        </is>
      </c>
      <c r="H10" s="17" t="inlineStr"/>
      <c r="I10" s="17" t="inlineStr"/>
    </row>
    <row r="11">
      <c r="A11" s="17" t="inlineStr">
        <is>
          <t>FR0-01</t>
        </is>
      </c>
      <c r="B11" s="24" t="inlineStr">
        <is>
          <t>Front</t>
        </is>
      </c>
      <c r="C11" s="19" t="inlineStr">
        <is>
          <t>Gabarit commun Thymeleaf</t>
        </is>
      </c>
      <c r="D11" s="20" t="inlineStr">
        <is>
          <t>Bootstrap, en-tête, menu latéral (en dur), contenu, pied de page, menu mobile repliable. Dans templates/fragments/.</t>
        </is>
      </c>
      <c r="E11" s="21" t="inlineStr">
        <is>
          <t>templates/fragments/layout.html (existe déjà)
templates/fragments/entete.html
templates/fragments/menu.html
templates/fragments/pied.html
static/css/style.css
static/js/app.js</t>
        </is>
      </c>
      <c r="F11" s="17" t="inlineStr">
        <is>
          <t>P1</t>
        </is>
      </c>
      <c r="G11" s="20" t="inlineStr">
        <is>
          <t>Lundi matin</t>
        </is>
      </c>
      <c r="H11" s="17" t="inlineStr"/>
      <c r="I11" s="17" t="inlineStr"/>
    </row>
    <row r="12">
      <c r="A12" s="17" t="inlineStr">
        <is>
          <t>FR0-02</t>
        </is>
      </c>
      <c r="B12" s="24" t="inlineStr">
        <is>
          <t>Front</t>
        </is>
      </c>
      <c r="C12" s="19" t="inlineStr">
        <is>
          <t>Variables CSS + fragments réutilisables</t>
        </is>
      </c>
      <c r="D12" s="20" t="inlineStr">
        <is>
          <t>Couleurs Bootstrap par défaut si la charte n'est pas prête (on remplacera les valeurs). Fragments : badge statut, flash succes/erreur, champ avec erreur, pagination, fil d'Ariane, état vide, confirmation avec commentaire. 2 lignes d'usage par fragment dans le README.</t>
        </is>
      </c>
      <c r="E12" s="21" t="inlineStr">
        <is>
          <t>static/css/style.css (variables :root)
templates/fragments/composants.html (badgeStatut, flash, champ, pagination, filAriane, etatVide, confirmation)
README.md (section « Fragments »)</t>
        </is>
      </c>
      <c r="F12" s="17" t="inlineStr">
        <is>
          <t>P1</t>
        </is>
      </c>
      <c r="G12" s="20" t="inlineStr">
        <is>
          <t>Lundi après-midi</t>
        </is>
      </c>
      <c r="H12" s="17" t="inlineStr"/>
      <c r="I12" s="17" t="inlineStr"/>
    </row>
    <row r="13">
      <c r="A13" s="17" t="inlineStr">
        <is>
          <t>FR0-03</t>
        </is>
      </c>
      <c r="B13" s="24" t="inlineStr">
        <is>
          <t>Front</t>
        </is>
      </c>
      <c r="C13" s="19" t="inlineStr">
        <is>
          <t>Fragments frise, stepper, barre de progression</t>
        </is>
      </c>
      <c r="D13" s="20" t="inlineStr">
        <is>
          <t>Fragments autonomes avec données d'exemple, réutilisables par toutes les pages.</t>
        </is>
      </c>
      <c r="E13" s="21" t="inlineStr">
        <is>
          <t>templates/fragments/frise.html
templates/fragments/stepper.html
templates/fragments/progression.html</t>
        </is>
      </c>
      <c r="F13" s="17" t="inlineStr">
        <is>
          <t>P1</t>
        </is>
      </c>
      <c r="G13" s="20" t="inlineStr">
        <is>
          <t>Lundi après-midi</t>
        </is>
      </c>
      <c r="H13" s="17" t="inlineStr"/>
      <c r="I13" s="17" t="inlineStr"/>
    </row>
    <row r="14">
      <c r="A14" s="17" t="inlineStr">
        <is>
          <t>FR0-08</t>
        </is>
      </c>
      <c r="B14" s="24" t="inlineStr">
        <is>
          <t>Front</t>
        </is>
      </c>
      <c r="C14" s="19" t="inlineStr">
        <is>
          <t>Formats français + script commun</t>
        </is>
      </c>
      <c r="D14" s="20" t="inlineStr">
        <is>
          <t>Dates jj/mm/aaaa, montants 1 234,56 €, confirmation avant action irréversible, bouton désactivé après clic.</t>
        </is>
      </c>
      <c r="E14" s="21" t="inlineStr">
        <is>
          <t>templates/fragments/formats.html (date, montant)
static/js/app.js (confirmation, anti double clic)</t>
        </is>
      </c>
      <c r="F14" s="17" t="inlineStr">
        <is>
          <t>P1</t>
        </is>
      </c>
      <c r="G14" s="20" t="inlineStr">
        <is>
          <t>Mercredi</t>
        </is>
      </c>
      <c r="H14" s="17" t="inlineStr"/>
      <c r="I14" s="17" t="inlineStr"/>
    </row>
  </sheetData>
  <autoFilter ref="A1:I14"/>
  <conditionalFormatting sqref="A2:I14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4" showDropDown="0" showInputMessage="0" showErrorMessage="0" allowBlank="1" type="list">
      <formula1>"En cours,Fait"</formula1>
    </dataValidation>
    <dataValidation sqref="I2:I14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DS1-03b</t>
        </is>
      </c>
      <c r="B2" s="23" t="inlineStr">
        <is>
          <t>Design</t>
        </is>
      </c>
      <c r="C2" s="19" t="inlineStr">
        <is>
          <t>Maquettes connexion et inscription</t>
        </is>
      </c>
      <c r="D2" s="20" t="inlineStr">
        <is>
          <t>Écran de connexion à deux entrées (employé : matricule / candidat : identifiant) + création de compte candidat.</t>
        </is>
      </c>
      <c r="E2" s="21" t="inlineStr">
        <is>
          <t>Figma : page « Connexion »</t>
        </is>
      </c>
      <c r="F2" s="17" t="inlineStr">
        <is>
          <t>P1</t>
        </is>
      </c>
      <c r="G2" s="20" t="inlineStr">
        <is>
          <t>Lundi après-midi</t>
        </is>
      </c>
      <c r="H2" s="17" t="inlineStr"/>
      <c r="I2" s="17" t="inlineStr"/>
    </row>
    <row r="3">
      <c r="A3" s="17" t="inlineStr">
        <is>
          <t>BK0-04</t>
        </is>
      </c>
      <c r="B3" s="22" t="inlineStr">
        <is>
          <t>Back</t>
        </is>
      </c>
      <c r="C3" s="19" t="inlineStr">
        <is>
          <t>Connexion à deux entrées + inscription candidat</t>
        </is>
      </c>
      <c r="D3" s="20" t="inlineStr">
        <is>
          <t>Employé (matricule + mdp) et candidat (identifiant + mdp), /inscription, mots de passe chiffrés, utilisateur connecté dispo partout. Protéger les URL par rôle (section 4), laisser publics /, /connexion, /inscription, /carrieres/**, CSS/JS/images. Prévenir l'équipe à l'activation.</t>
        </is>
      </c>
      <c r="E3" s="21" t="inlineStr">
        <is>
          <t>java/commun/config/SecurityConfig.java
java/commun/service/CompteDetailsService.java
java/commun/controller/AuthController.java (/connexion, /inscription)
java/commun/dto/InscriptionFormulaire.java
java/commun/controller/UtilisateurConnecteAdvice.java (utilisateur sur toutes les pages)</t>
        </is>
      </c>
      <c r="F3" s="17" t="inlineStr">
        <is>
          <t>P1</t>
        </is>
      </c>
      <c r="G3" s="20" t="inlineStr">
        <is>
          <t>Mardi</t>
        </is>
      </c>
      <c r="H3" s="17" t="inlineStr"/>
      <c r="I3" s="17" t="inlineStr"/>
    </row>
    <row r="4">
      <c r="A4" s="17" t="inlineStr">
        <is>
          <t>FR0-04</t>
        </is>
      </c>
      <c r="B4" s="24" t="inlineStr">
        <is>
          <t>Front</t>
        </is>
      </c>
      <c r="C4" s="19" t="inlineStr">
        <is>
          <t>Pages connexion, inscription, erreurs</t>
        </is>
      </c>
      <c r="D4" s="20" t="inlineStr">
        <is>
          <t>auth/connexion (2 entrées, message identifiants faux, message après déconnexion), auth/inscription, erreurs/403, 404, 500. Données d'exemple dans le template.</t>
        </is>
      </c>
      <c r="E4" s="21" t="inlineStr">
        <is>
          <t>templates/auth/connexion.html
templates/auth/inscription.html
templates/erreurs/403.html, 404.html, 500.html</t>
        </is>
      </c>
      <c r="F4" s="17" t="inlineStr">
        <is>
          <t>P1</t>
        </is>
      </c>
      <c r="G4" s="20" t="inlineStr">
        <is>
          <t>Mardi matin</t>
        </is>
      </c>
      <c r="H4" s="17" t="inlineStr"/>
      <c r="I4" s="17" t="inlineStr"/>
    </row>
    <row r="5">
      <c r="A5" s="17" t="inlineStr">
        <is>
          <t>FR0-06</t>
        </is>
      </c>
      <c r="B5" s="24" t="inlineStr">
        <is>
          <t>Front</t>
        </is>
      </c>
      <c r="C5" s="19" t="inlineStr">
        <is>
          <t>Menu par rôle + utilisateur dans l'en-tête</t>
        </is>
      </c>
      <c r="D5" s="20" t="inlineStr">
        <is>
          <t>Afficher les entrées du menu selon le rôle (sec:authorize), nom/rôle et déconnexion. Fonctionne même sans sécurité active (tout s'affiche).</t>
        </is>
      </c>
      <c r="E5" s="21" t="inlineStr">
        <is>
          <t>templates/fragments/menu.html
templates/fragments/entete.html</t>
        </is>
      </c>
      <c r="F5" s="17" t="inlineStr">
        <is>
          <t>P1</t>
        </is>
      </c>
      <c r="G5" s="20" t="inlineStr">
        <is>
          <t>Mardi</t>
        </is>
      </c>
      <c r="H5" s="17" t="inlineStr"/>
      <c r="I5" s="17" t="inlineStr"/>
    </row>
    <row r="6">
      <c r="A6" s="17" t="inlineStr">
        <is>
          <t>BK0-11</t>
        </is>
      </c>
      <c r="B6" s="22" t="inlineStr">
        <is>
          <t>Back</t>
        </is>
      </c>
      <c r="C6" s="19" t="inlineStr">
        <is>
          <t>Admin : gestion des comptes</t>
        </is>
      </c>
      <c r="D6" s="20" t="inlineStr">
        <is>
          <t>Page /admin/comptes, e-mails simulés dans les logs, tâche quotidienne (offres/propositions expirées, fin de contrat).</t>
        </is>
      </c>
      <c r="E6" s="21" t="inlineStr">
        <is>
          <t>java/commun/controller/AdminCompteController.java
java/commun/service/EmailSimuleService.java
java/commun/service/TachesPlanifiees.java
templates/admin/comptes.html, templates/admin/audit.html</t>
        </is>
      </c>
      <c r="F6" s="17" t="inlineStr">
        <is>
          <t>P3</t>
        </is>
      </c>
      <c r="G6" s="20" t="inlineStr">
        <is>
          <t>Si temps</t>
        </is>
      </c>
      <c r="H6" s="17" t="inlineStr"/>
      <c r="I6" s="17" t="inlineStr"/>
    </row>
  </sheetData>
  <autoFilter ref="A1:I6"/>
  <conditionalFormatting sqref="A2:I6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6" showDropDown="0" showInputMessage="0" showErrorMessage="0" allowBlank="1" type="list">
      <formula1>"En cours,Fait"</formula1>
    </dataValidation>
    <dataValidation sqref="I2:I6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DS1-04</t>
        </is>
      </c>
      <c r="B2" s="23" t="inlineStr">
        <is>
          <t>Design</t>
        </is>
      </c>
      <c r="C2" s="19" t="inlineStr">
        <is>
          <t>Basse fidélité bloc 1</t>
        </is>
      </c>
      <c r="D2" s="20" t="inlineStr">
        <is>
          <t>Liste des besoins, formulaire (création poste / recherche personnel), détail avec stepper Manager → RH → Finance → Ouverture, fenêtre de refus, liste des postes.</t>
        </is>
      </c>
      <c r="E2" s="21" t="inlineStr">
        <is>
          <t>Figma : page « Bloc 1 — basse fidélité »</t>
        </is>
      </c>
      <c r="F2" s="17" t="inlineStr">
        <is>
          <t>P1</t>
        </is>
      </c>
      <c r="G2" s="20" t="inlineStr">
        <is>
          <t>Lundi après-midi</t>
        </is>
      </c>
      <c r="H2" s="17" t="inlineStr"/>
      <c r="I2" s="17" t="inlineStr"/>
    </row>
    <row r="3">
      <c r="A3" s="17" t="inlineStr">
        <is>
          <t>DS1-07</t>
        </is>
      </c>
      <c r="B3" s="23" t="inlineStr">
        <is>
          <t>Design</t>
        </is>
      </c>
      <c r="C3" s="19" t="inlineStr">
        <is>
          <t>Haute fidélité bloc 1</t>
        </is>
      </c>
      <c r="D3" s="20" t="inlineStr">
        <is>
          <t>Partir de la basse fidélité DS1-04 et de la charte.</t>
        </is>
      </c>
      <c r="E3" s="21" t="inlineStr">
        <is>
          <t>Figma : page « Bloc 1 — haute fidélité »</t>
        </is>
      </c>
      <c r="F3" s="17" t="inlineStr">
        <is>
          <t>P1</t>
        </is>
      </c>
      <c r="G3" s="20" t="inlineStr">
        <is>
          <t>Mardi après-midi</t>
        </is>
      </c>
      <c r="H3" s="17" t="inlineStr"/>
      <c r="I3" s="17" t="inlineStr"/>
    </row>
    <row r="4">
      <c r="A4" s="17" t="inlineStr">
        <is>
          <t>BK1-01</t>
        </is>
      </c>
      <c r="B4" s="22" t="inlineStr">
        <is>
          <t>Back</t>
        </is>
      </c>
      <c r="C4" s="19" t="inlineStr">
        <is>
          <t>Entités du bloc 1</t>
        </is>
      </c>
      <c r="D4" s="20" t="inlineStr">
        <is>
          <t>Departement, Service, Poste, Besoin, Type_Besoin, Statut_Besoin, Validation avec les champs du MCD.</t>
        </is>
      </c>
      <c r="E4" s="21" t="inlineStr">
        <is>
          <t>java/besoin/entity/Departement.java, ServiceDepartement.java (table service), Poste.java, Besoin.java, TypeBesoin.java, StatutBesoin.java, Validation.java
java/besoin/repository/DepartementRepository.java, ServiceDepartementRepository.java, PosteRepository.java, BesoinRepository.java, TypeBesoinRepository.java, StatutBesoinRepository.java, ValidationRepository.java</t>
        </is>
      </c>
      <c r="F4" s="17" t="inlineStr">
        <is>
          <t>P1</t>
        </is>
      </c>
      <c r="G4" s="20" t="inlineStr">
        <is>
          <t>Lundi après-midi</t>
        </is>
      </c>
      <c r="H4" s="17" t="inlineStr"/>
      <c r="I4" s="17" t="inlineStr"/>
    </row>
    <row r="5">
      <c r="A5" s="17" t="inlineStr">
        <is>
          <t>BK1-02</t>
        </is>
      </c>
      <c r="B5" s="22" t="inlineStr">
        <is>
          <t>Back</t>
        </is>
      </c>
      <c r="C5" s="19" t="inlineStr">
        <is>
          <t>Données de démo du bloc 1</t>
        </is>
      </c>
      <c r="D5" s="20" t="inlineStr">
        <is>
          <t>4 départements × 2 services, ~15 postes (occupés / libres, estManager), 4 besoins à des statuts différents.</t>
        </is>
      </c>
      <c r="E5" s="21" t="inlineStr">
        <is>
          <t>java/besoin/demo/DonneesDemoBesoin.java</t>
        </is>
      </c>
      <c r="F5" s="17" t="inlineStr">
        <is>
          <t>P1</t>
        </is>
      </c>
      <c r="G5" s="20" t="inlineStr">
        <is>
          <t>Lundi soir</t>
        </is>
      </c>
      <c r="H5" s="17" t="inlineStr"/>
      <c r="I5" s="17" t="inlineStr"/>
    </row>
    <row r="6">
      <c r="A6" s="17" t="inlineStr">
        <is>
          <t>BK1-03</t>
        </is>
      </c>
      <c r="B6" s="22" t="inlineStr">
        <is>
          <t>Back</t>
        </is>
      </c>
      <c r="C6" s="19" t="inlineStr">
        <is>
          <t>Contrôleurs postes et besoins (lecture)</t>
        </is>
      </c>
      <c r="D6" s="20" t="inlineStr">
        <is>
          <t>/postes (filtres département/service/occupé), /besoins (manager : son département, RH/Finance : tout), /besoins/{id} avec historique des validations.</t>
        </is>
      </c>
      <c r="E6" s="21" t="inlineStr">
        <is>
          <t>java/besoin/controller/PosteController.java (/postes)
java/besoin/controller/BesoinController.java (/besoins, /besoins/{id})
java/besoin/service/PosteService.java
java/besoin/service/BesoinService.java</t>
        </is>
      </c>
      <c r="F6" s="17" t="inlineStr">
        <is>
          <t>P1</t>
        </is>
      </c>
      <c r="G6" s="20" t="inlineStr">
        <is>
          <t>Mardi matin</t>
        </is>
      </c>
      <c r="H6" s="17" t="inlineStr"/>
      <c r="I6" s="17" t="inlineStr"/>
    </row>
    <row r="7">
      <c r="A7" s="17" t="inlineStr">
        <is>
          <t>BK1-04</t>
        </is>
      </c>
      <c r="B7" s="22" t="inlineStr">
        <is>
          <t>Back</t>
        </is>
      </c>
      <c r="C7" s="19" t="inlineStr">
        <is>
          <t>Créer / modifier un besoin</t>
        </is>
      </c>
      <c r="D7" s="20" t="inlineStr">
        <is>
          <t>Validation : effectif ≥ 1, date future, budget &gt; 0, motif obligatoire. Création poste → poste inactif et libre. Recherche personnel → poste existant libre.</t>
        </is>
      </c>
      <c r="E7" s="21" t="inlineStr">
        <is>
          <t>java/besoin/controller/BesoinController.java (/besoins/nouveau, /besoins/{id}/modifier)
java/besoin/dto/BesoinFormulaire.java
java/besoin/service/BesoinService.java</t>
        </is>
      </c>
      <c r="F7" s="17" t="inlineStr">
        <is>
          <t>P1</t>
        </is>
      </c>
      <c r="G7" s="20" t="inlineStr">
        <is>
          <t>Mardi après-midi</t>
        </is>
      </c>
      <c r="H7" s="17" t="inlineStr"/>
      <c r="I7" s="17" t="inlineStr"/>
    </row>
    <row r="8">
      <c r="A8" s="17" t="inlineStr">
        <is>
          <t>BK1-05</t>
        </is>
      </c>
      <c r="B8" s="22" t="inlineStr">
        <is>
          <t>Back</t>
        </is>
      </c>
      <c r="C8" s="19" t="inlineStr">
        <is>
          <t>Workflow du besoin</t>
        </is>
      </c>
      <c r="D8" s="20" t="inlineStr">
        <is>
          <t>Envoyer RH, envoyer Finance, valider / refuser (commentaire), compléter, annuler. Chaque décision = une Validation. Fournir actionsPossibles. Si le moteur commun n'est pas prêt, coder les transitions en dur puis migrer.</t>
        </is>
      </c>
      <c r="E8" s="21" t="inlineStr">
        <is>
          <t>java/besoin/service/BesoinWorkflow.java
java/besoin/controller/BesoinController.java (actions /envoyer-rh, /envoyer-finance, /valider, /refuser, /completer, /annuler)</t>
        </is>
      </c>
      <c r="F8" s="17" t="inlineStr">
        <is>
          <t>P1</t>
        </is>
      </c>
      <c r="G8" s="20" t="inlineStr">
        <is>
          <t>Mercredi matin</t>
        </is>
      </c>
      <c r="H8" s="17" t="inlineStr"/>
      <c r="I8" s="17" t="inlineStr"/>
    </row>
    <row r="9">
      <c r="A9" s="17" t="inlineStr">
        <is>
          <t>BK1-06</t>
        </is>
      </c>
      <c r="B9" s="22" t="inlineStr">
        <is>
          <t>Back</t>
        </is>
      </c>
      <c r="C9" s="19" t="inlineStr">
        <is>
          <t>Ouverture du recrutement</t>
        </is>
      </c>
      <c r="D9" s="20" t="inlineStr">
        <is>
          <t>Besoin → recrutement ouvert, poste actif, création d'une Offre brouillon pré-remplie (titre, département, type de contrat).</t>
        </is>
      </c>
      <c r="E9" s="21" t="inlineStr">
        <is>
          <t>java/besoin/service/OuvertureRecrutementService.java (utilise recrutement/repository/OffreRepository)
java/besoin/controller/BesoinController.java (/ouvrir-recrutement)</t>
        </is>
      </c>
      <c r="F9" s="17" t="inlineStr">
        <is>
          <t>P1</t>
        </is>
      </c>
      <c r="G9" s="20" t="inlineStr">
        <is>
          <t>Mercredi après-midi</t>
        </is>
      </c>
      <c r="H9" s="17" t="inlineStr"/>
      <c r="I9" s="17" t="inlineStr"/>
    </row>
    <row r="10">
      <c r="A10" s="17" t="inlineStr">
        <is>
          <t>BK1-07</t>
        </is>
      </c>
      <c r="B10" s="22" t="inlineStr">
        <is>
          <t>Back</t>
        </is>
      </c>
      <c r="C10" s="19" t="inlineStr">
        <is>
          <t>Notifications du bloc 1</t>
        </is>
      </c>
      <c r="D10" s="20" t="inlineStr">
        <is>
          <t>Envoyé RH → RH ; envoyé Finance → Finance ; retour Finance → manager et RH. Si le service de notif n'existe pas : log.</t>
        </is>
      </c>
      <c r="E10" s="21" t="inlineStr">
        <is>
          <t>java/besoin/service/BesoinWorkflow.java (appels à commun/service/NotificationService)</t>
        </is>
      </c>
      <c r="F10" s="17" t="inlineStr">
        <is>
          <t>P2</t>
        </is>
      </c>
      <c r="G10" s="20" t="inlineStr">
        <is>
          <t>Mercredi</t>
        </is>
      </c>
      <c r="H10" s="17" t="inlineStr"/>
      <c r="I10" s="17" t="inlineStr"/>
    </row>
    <row r="11">
      <c r="A11" s="17" t="inlineStr">
        <is>
          <t>BK1-09</t>
        </is>
      </c>
      <c r="B11" s="22" t="inlineStr">
        <is>
          <t>Back</t>
        </is>
      </c>
      <c r="C11" s="19" t="inlineStr">
        <is>
          <t>Fiche poste + CRUD postes/services/départements</t>
        </is>
      </c>
      <c r="D11" s="20" t="inlineStr">
        <is>
          <t>Historique des titulaires via Historique_Employe.</t>
        </is>
      </c>
      <c r="E11" s="21" t="inlineStr">
        <is>
          <t>java/besoin/controller/DepartementController.java
java/besoin/controller/PosteController.java (/postes/{id}, /nouveau, /modifier)
java/besoin/dto/PosteFormulaire.java</t>
        </is>
      </c>
      <c r="F11" s="17" t="inlineStr">
        <is>
          <t>P2</t>
        </is>
      </c>
      <c r="G11" s="20" t="inlineStr">
        <is>
          <t>Jeudi</t>
        </is>
      </c>
      <c r="H11" s="17" t="inlineStr"/>
      <c r="I11" s="17" t="inlineStr"/>
    </row>
    <row r="12">
      <c r="A12" s="17" t="inlineStr">
        <is>
          <t>FR0-05</t>
        </is>
      </c>
      <c r="B12" s="24" t="inlineStr">
        <is>
          <t>Front</t>
        </is>
      </c>
      <c r="C12" s="19" t="inlineStr">
        <is>
          <t>Pages du bloc 1 (statique)</t>
        </is>
      </c>
      <c r="D12" s="20" t="inlineStr">
        <is>
          <t>besoins/liste, besoins/formulaire (partie poste selon le type, petit script), besoins/detail (stepper + historique), fenêtre refus/complément, postes/liste. Données d'exemple.</t>
        </is>
      </c>
      <c r="E12" s="21" t="inlineStr">
        <is>
          <t>templates/besoins/liste.html
templates/besoins/formulaire.html
templates/besoins/detail.html
templates/postes/liste.html
static/js/app.js (bascule création poste / recherche personnel)</t>
        </is>
      </c>
      <c r="F12" s="17" t="inlineStr">
        <is>
          <t>P1</t>
        </is>
      </c>
      <c r="G12" s="20" t="inlineStr">
        <is>
          <t>Mardi</t>
        </is>
      </c>
      <c r="H12" s="17" t="inlineStr"/>
      <c r="I12" s="17" t="inlineStr"/>
    </row>
    <row r="13">
      <c r="A13" s="17" t="inlineStr">
        <is>
          <t>FR0-07</t>
        </is>
      </c>
      <c r="B13" s="24" t="inlineStr">
        <is>
          <t>Front</t>
        </is>
      </c>
      <c r="C13" s="19" t="inlineStr">
        <is>
          <t>Brancher les pages du bloc 1</t>
        </is>
      </c>
      <c r="D13" s="20" t="inlineStr">
        <is>
          <t>Remplacer les données d'exemple par les variables du contrat d'interface (besoins, besoin, formulaire, actionsPossibles). Boutons affichés seulement si dans actionsPossibles.</t>
        </is>
      </c>
      <c r="E13" s="21" t="inlineStr">
        <is>
          <t>templates/besoins/liste.html, formulaire.html, detail.html
templates/postes/liste.html</t>
        </is>
      </c>
      <c r="F13" s="17" t="inlineStr">
        <is>
          <t>P1</t>
        </is>
      </c>
      <c r="G13" s="20" t="inlineStr">
        <is>
          <t>Mercredi</t>
        </is>
      </c>
      <c r="H13" s="17" t="inlineStr"/>
      <c r="I13" s="17" t="inlineStr"/>
    </row>
    <row r="14">
      <c r="A14" s="17" t="inlineStr">
        <is>
          <t>FR0-12</t>
        </is>
      </c>
      <c r="B14" s="24" t="inlineStr">
        <is>
          <t>Front</t>
        </is>
      </c>
      <c r="C14" s="19" t="inlineStr">
        <is>
          <t>Fiche poste, formulaires poste/département</t>
        </is>
      </c>
      <c r="D14" s="20" t="inlineStr">
        <is>
          <t>Pages postes/detail, postes/formulaire, departements/liste et detail.</t>
        </is>
      </c>
      <c r="E14" s="21" t="inlineStr">
        <is>
          <t>templates/postes/detail.html, postes/formulaire.html
templates/departements/liste.html, departements/detail.html
templates/notifications/liste.html</t>
        </is>
      </c>
      <c r="F14" s="17" t="inlineStr">
        <is>
          <t>P2</t>
        </is>
      </c>
      <c r="G14" s="20" t="inlineStr">
        <is>
          <t>Si temps</t>
        </is>
      </c>
      <c r="H14" s="17" t="inlineStr"/>
      <c r="I14" s="17" t="inlineStr"/>
    </row>
  </sheetData>
  <autoFilter ref="A1:I14"/>
  <conditionalFormatting sqref="A2:I14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4" showDropDown="0" showInputMessage="0" showErrorMessage="0" allowBlank="1" type="list">
      <formula1>"En cours,Fait"</formula1>
    </dataValidation>
    <dataValidation sqref="I2:I14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DS2-02</t>
        </is>
      </c>
      <c r="B2" s="23" t="inlineStr">
        <is>
          <t>Design</t>
        </is>
      </c>
      <c r="C2" s="19" t="inlineStr">
        <is>
          <t>Basse fidélité offres + pages publiques</t>
        </is>
      </c>
      <c r="D2" s="20" t="inlineStr">
        <is>
          <t>Accueil public, liste des offres avec filtre, détail, « Candidater » → connexion / création compte → formulaire CV → confirmation, espace candidat, côté RH : liste/détail/modif des offres.</t>
        </is>
      </c>
      <c r="E2" s="21" t="inlineStr">
        <is>
          <t>Figma : page « Bloc 2 — basse fidélité »</t>
        </is>
      </c>
      <c r="F2" s="17" t="inlineStr">
        <is>
          <t>P1</t>
        </is>
      </c>
      <c r="G2" s="20" t="inlineStr">
        <is>
          <t>Lundi après-midi</t>
        </is>
      </c>
      <c r="H2" s="17" t="inlineStr"/>
      <c r="I2" s="17" t="inlineStr"/>
    </row>
    <row r="3">
      <c r="A3" s="17" t="inlineStr">
        <is>
          <t>DS2-04</t>
        </is>
      </c>
      <c r="B3" s="23" t="inlineStr">
        <is>
          <t>Design</t>
        </is>
      </c>
      <c r="C3" s="19" t="inlineStr">
        <is>
          <t>Haute fidélité bloc 2 (carrières d'abord)</t>
        </is>
      </c>
      <c r="D3" s="20" t="inlineStr">
        <is>
          <t>Page carrières publique très soignée et parfaite sur mobile.</t>
        </is>
      </c>
      <c r="E3" s="21" t="inlineStr">
        <is>
          <t>Figma : page « Bloc 2 — haute fidélité »</t>
        </is>
      </c>
      <c r="F3" s="17" t="inlineStr">
        <is>
          <t>P1</t>
        </is>
      </c>
      <c r="G3" s="20" t="inlineStr">
        <is>
          <t>Mardi</t>
        </is>
      </c>
      <c r="H3" s="17" t="inlineStr"/>
      <c r="I3" s="17" t="inlineStr"/>
    </row>
    <row r="4">
      <c r="A4" s="17" t="inlineStr">
        <is>
          <t>BK2-01</t>
        </is>
      </c>
      <c r="B4" s="22" t="inlineStr">
        <is>
          <t>Back</t>
        </is>
      </c>
      <c r="C4" s="19" t="inlineStr">
        <is>
          <t>Entités du bloc 2</t>
        </is>
      </c>
      <c r="D4" s="20" t="inlineStr">
        <is>
          <t>Offre, Statut_Offre, Candidat (lié au Compte), Candidature, Statut_Candidature, Entretien, Evaluation_Candidat.</t>
        </is>
      </c>
      <c r="E4" s="21" t="inlineStr">
        <is>
          <t>java/recrutement/entity/Offre.java, StatutOffre.java, Candidat.java, Candidature.java, StatutCandidature.java, Entretien.java, EvaluationCandidat.java
java/recrutement/repository/OffreRepository.java, StatutOffreRepository.java, CandidatRepository.java, CandidatureRepository.java, StatutCandidatureRepository.java, EntretienRepository.java, EvaluationCandidatRepository.java</t>
        </is>
      </c>
      <c r="F4" s="17" t="inlineStr">
        <is>
          <t>P1</t>
        </is>
      </c>
      <c r="G4" s="20" t="inlineStr">
        <is>
          <t>Lundi après-midi</t>
        </is>
      </c>
      <c r="H4" s="17" t="inlineStr"/>
      <c r="I4" s="17" t="inlineStr"/>
    </row>
    <row r="5">
      <c r="A5" s="17" t="inlineStr">
        <is>
          <t>BK2-02</t>
        </is>
      </c>
      <c r="B5" s="22" t="inlineStr">
        <is>
          <t>Back</t>
        </is>
      </c>
      <c r="C5" s="19" t="inlineStr">
        <is>
          <t>Données de démo du bloc 2</t>
        </is>
      </c>
      <c r="D5" s="20" t="inlineStr">
        <is>
          <t>2 offres publiées, ~10 candidats avec compte (un qui a postulé à 2 offres), candidatures à différents statuts, entretiens, évaluations.</t>
        </is>
      </c>
      <c r="E5" s="21" t="inlineStr">
        <is>
          <t>java/recrutement/demo/DonneesDemoRecrutement.java</t>
        </is>
      </c>
      <c r="F5" s="17" t="inlineStr">
        <is>
          <t>P1</t>
        </is>
      </c>
      <c r="G5" s="20" t="inlineStr">
        <is>
          <t>Lundi soir</t>
        </is>
      </c>
      <c r="H5" s="17" t="inlineStr"/>
      <c r="I5" s="17" t="inlineStr"/>
    </row>
    <row r="6">
      <c r="A6" s="17" t="inlineStr">
        <is>
          <t>BK2-03</t>
        </is>
      </c>
      <c r="B6" s="22" t="inlineStr">
        <is>
          <t>Back</t>
        </is>
      </c>
      <c r="C6" s="19" t="inlineStr">
        <is>
          <t>Offres côté RH</t>
        </is>
      </c>
      <c r="D6" s="20" t="inlineStr">
        <is>
          <t>/offres liste, détail, modif brouillon, publier, clôturer, annuler.</t>
        </is>
      </c>
      <c r="E6" s="21" t="inlineStr">
        <is>
          <t>java/recrutement/controller/OffreController.java (/offres…)
java/recrutement/service/OffreService.java
java/recrutement/service/OffreWorkflow.java
java/recrutement/dto/OffreFormulaire.java</t>
        </is>
      </c>
      <c r="F6" s="17" t="inlineStr">
        <is>
          <t>P1</t>
        </is>
      </c>
      <c r="G6" s="20" t="inlineStr">
        <is>
          <t>Mardi matin</t>
        </is>
      </c>
      <c r="H6" s="17" t="inlineStr"/>
      <c r="I6" s="17" t="inlineStr"/>
    </row>
    <row r="7">
      <c r="A7" s="17" t="inlineStr">
        <is>
          <t>BK2-04</t>
        </is>
      </c>
      <c r="B7" s="22" t="inlineStr">
        <is>
          <t>Back</t>
        </is>
      </c>
      <c r="C7" s="19" t="inlineStr">
        <is>
          <t>Candidature publique + espace candidat</t>
        </is>
      </c>
      <c r="D7" s="20" t="inlineStr">
        <is>
          <t>Offres publiées visibles sans connexion (/ et /carrieres), « Candidater » demande connexion ou compte, formulaire + CV (si la GED n'est pas prête, enregistrer sans fichier), une seule candidature par offre, /carrieres/merci, /espace-candidat.</t>
        </is>
      </c>
      <c r="E7" s="21" t="inlineStr">
        <is>
          <t>java/recrutement/controller/PublicController.java (/, /carrieres, /carrieres/{id}, /postuler, /merci)
java/recrutement/controller/EspaceCandidatController.java (/espace-candidat)
java/recrutement/service/CandidatureService.java
java/recrutement/dto/CandidatureFormulaire.java</t>
        </is>
      </c>
      <c r="F7" s="17" t="inlineStr">
        <is>
          <t>P1</t>
        </is>
      </c>
      <c r="G7" s="20" t="inlineStr">
        <is>
          <t>Mardi après-midi</t>
        </is>
      </c>
      <c r="H7" s="17" t="inlineStr"/>
      <c r="I7" s="17" t="inlineStr"/>
    </row>
    <row r="8">
      <c r="A8" s="17" t="inlineStr">
        <is>
          <t>FR1-01</t>
        </is>
      </c>
      <c r="B8" s="24" t="inlineStr">
        <is>
          <t>Front</t>
        </is>
      </c>
      <c r="C8" s="19" t="inlineStr">
        <is>
          <t>Pages publiques (statique)</t>
        </is>
      </c>
      <c r="D8" s="20" t="inlineStr">
        <is>
          <t>public/accueil, public/offres, public/offre-detail, public/confirmation avec gabarit public propre (logo, sans menu interne). Données d'exemple.</t>
        </is>
      </c>
      <c r="E8" s="21" t="inlineStr">
        <is>
          <t>templates/public/layout-public.html
templates/public/accueil.html (remplace templates/index.html)
templates/public/offres.html
templates/public/offre-detail.html
templates/public/confirmation.html
static/css/recrutement.css</t>
        </is>
      </c>
      <c r="F8" s="17" t="inlineStr">
        <is>
          <t>P1</t>
        </is>
      </c>
      <c r="G8" s="20" t="inlineStr">
        <is>
          <t>Lundi matin</t>
        </is>
      </c>
      <c r="H8" s="17" t="inlineStr"/>
      <c r="I8" s="17" t="inlineStr"/>
    </row>
    <row r="9">
      <c r="A9" s="17" t="inlineStr">
        <is>
          <t>FR1-02</t>
        </is>
      </c>
      <c r="B9" s="24" t="inlineStr">
        <is>
          <t>Front</t>
        </is>
      </c>
      <c r="C9" s="19" t="inlineStr">
        <is>
          <t>Pages RH des offres (statique)</t>
        </is>
      </c>
      <c r="D9" s="20" t="inlineStr">
        <is>
          <t>offres/liste (statut, nb de candidatures), offres/detail, offres/formulaire. Données d'exemple.</t>
        </is>
      </c>
      <c r="E9" s="21" t="inlineStr">
        <is>
          <t>templates/offres/liste.html
templates/offres/detail.html
templates/offres/formulaire.html</t>
        </is>
      </c>
      <c r="F9" s="17" t="inlineStr">
        <is>
          <t>P1</t>
        </is>
      </c>
      <c r="G9" s="20" t="inlineStr">
        <is>
          <t>Lundi après-midi</t>
        </is>
      </c>
      <c r="H9" s="17" t="inlineStr"/>
      <c r="I9" s="17" t="inlineStr"/>
    </row>
    <row r="10">
      <c r="A10" s="17" t="inlineStr">
        <is>
          <t>FR1-05</t>
        </is>
      </c>
      <c r="B10" s="24" t="inlineStr">
        <is>
          <t>Front</t>
        </is>
      </c>
      <c r="C10" s="19" t="inlineStr">
        <is>
          <t>Finition page carrières + contrôle du CV</t>
        </is>
      </c>
      <c r="D10" s="20" t="inlineStr">
        <is>
          <t>Style soigné, mobile impeccable, vérification format/taille du CV côté navigateur.</t>
        </is>
      </c>
      <c r="E10" s="21" t="inlineStr">
        <is>
          <t>templates/public/offres.html, public/offre-detail.html
static/css/recrutement.css
static/js/recrutement.js (contrôle format / taille du CV)</t>
        </is>
      </c>
      <c r="F10" s="17" t="inlineStr">
        <is>
          <t>P1</t>
        </is>
      </c>
      <c r="G10" s="20" t="inlineStr">
        <is>
          <t>Mardi</t>
        </is>
      </c>
      <c r="H10" s="17" t="inlineStr"/>
      <c r="I10" s="17" t="inlineStr"/>
    </row>
    <row r="11">
      <c r="A11" s="17" t="inlineStr">
        <is>
          <t>FR1-11</t>
        </is>
      </c>
      <c r="B11" s="24" t="inlineStr">
        <is>
          <t>Front</t>
        </is>
      </c>
      <c r="C11" s="19" t="inlineStr">
        <is>
          <t>Espace candidat</t>
        </is>
      </c>
      <c r="D11" s="20" t="inlineStr">
        <is>
          <t>espace-candidat/candidatures : offre, date, badge, lien, message si vide. « Candidater » renvoie vers connexion/inscription si non connecté.</t>
        </is>
      </c>
      <c r="E11" s="21" t="inlineStr">
        <is>
          <t>templates/espace-candidat/candidatures.html</t>
        </is>
      </c>
      <c r="F11" s="17" t="inlineStr">
        <is>
          <t>P1</t>
        </is>
      </c>
      <c r="G11" s="20" t="inlineStr">
        <is>
          <t>Mercredi</t>
        </is>
      </c>
      <c r="H11" s="17" t="inlineStr"/>
      <c r="I11" s="17" t="inlineStr"/>
    </row>
    <row r="12">
      <c r="A12" s="17" t="inlineStr">
        <is>
          <t>FR1-06</t>
        </is>
      </c>
      <c r="B12" s="24" t="inlineStr">
        <is>
          <t>Front</t>
        </is>
      </c>
      <c r="C12" s="19" t="inlineStr">
        <is>
          <t>Brancher offres, carrières, candidatures</t>
        </is>
      </c>
      <c r="D12" s="20" t="inlineStr">
        <is>
          <t>Variables du contrat d'interface (offres, offre, formulaire, actionsPossibles).</t>
        </is>
      </c>
      <c r="E12" s="21" t="inlineStr">
        <is>
          <t>templates/offres/*.html
templates/public/*.html
templates/candidatures/liste.html, candidatures/detail.html</t>
        </is>
      </c>
      <c r="F12" s="17" t="inlineStr">
        <is>
          <t>P1</t>
        </is>
      </c>
      <c r="G12" s="20" t="inlineStr">
        <is>
          <t>Mercredi</t>
        </is>
      </c>
      <c r="H12" s="17" t="inlineStr"/>
      <c r="I12" s="17" t="inlineStr"/>
    </row>
  </sheetData>
  <autoFilter ref="A1:I12"/>
  <conditionalFormatting sqref="A2:I12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2" showDropDown="0" showInputMessage="0" showErrorMessage="0" allowBlank="1" type="list">
      <formula1>"En cours,Fait"</formula1>
    </dataValidation>
    <dataValidation sqref="I2:I12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DS2-06</t>
        </is>
      </c>
      <c r="B2" s="23" t="inlineStr">
        <is>
          <t>Design</t>
        </is>
      </c>
      <c r="C2" s="19" t="inlineStr">
        <is>
          <t>Écrans P2 recrutement</t>
        </is>
      </c>
      <c r="D2" s="20" t="inlineStr">
        <is>
          <t>Fiche candidat, comparaison des évaluations, récapitulatif après acceptation, réponse à la proposition côté candidat.</t>
        </is>
      </c>
      <c r="E2" s="21" t="inlineStr">
        <is>
          <t>Figma : page « Bloc 2 — P2 »</t>
        </is>
      </c>
      <c r="F2" s="17" t="inlineStr">
        <is>
          <t>P2</t>
        </is>
      </c>
      <c r="G2" s="20" t="inlineStr">
        <is>
          <t>Mercredi</t>
        </is>
      </c>
      <c r="H2" s="17" t="inlineStr"/>
      <c r="I2" s="17" t="inlineStr"/>
    </row>
    <row r="3">
      <c r="A3" s="17" t="inlineStr">
        <is>
          <t>BK2-05</t>
        </is>
      </c>
      <c r="B3" s="22" t="inlineStr">
        <is>
          <t>Back</t>
        </is>
      </c>
      <c r="C3" s="19" t="inlineStr">
        <is>
          <t>Workflow de la candidature</t>
        </is>
      </c>
      <c r="D3" s="20" t="inlineStr">
        <is>
          <t>Présélectionner, rejeter (motif), en entretien (auto au 1er entretien), retenir. Liste par offre + fiche avec actionsPossibles.</t>
        </is>
      </c>
      <c r="E3" s="21" t="inlineStr">
        <is>
          <t>java/recrutement/controller/CandidatureController.java (/offres/{id}/candidatures, /candidatures/{id}…)
java/recrutement/service/CandidatureWorkflow.java</t>
        </is>
      </c>
      <c r="F3" s="17" t="inlineStr">
        <is>
          <t>P1</t>
        </is>
      </c>
      <c r="G3" s="20" t="inlineStr">
        <is>
          <t>Mercredi matin</t>
        </is>
      </c>
      <c r="H3" s="17" t="inlineStr"/>
      <c r="I3" s="17" t="inlineStr"/>
    </row>
    <row r="4">
      <c r="A4" s="17" t="inlineStr">
        <is>
          <t>BK2-06</t>
        </is>
      </c>
      <c r="B4" s="22" t="inlineStr">
        <is>
          <t>Back</t>
        </is>
      </c>
      <c r="C4" s="19" t="inlineStr">
        <is>
          <t>Entretiens et évaluations</t>
        </is>
      </c>
      <c r="D4" s="20" t="inlineStr">
        <is>
          <t>Planifier (date future, ≥ 1 évaluateur, pas de conflit de créneau), réalisé, annulé. Évaluation : évaluateur assigné seulement, une par évaluateur/entretien, note moyenne.</t>
        </is>
      </c>
      <c r="E4" s="21" t="inlineStr">
        <is>
          <t>java/recrutement/controller/EntretienController.java
java/recrutement/controller/EvaluationController.java
java/recrutement/service/EntretienService.java
java/recrutement/service/EvaluationService.java
java/recrutement/dto/EntretienFormulaire.java, EvaluationFormulaire.java</t>
        </is>
      </c>
      <c r="F4" s="17" t="inlineStr">
        <is>
          <t>P1</t>
        </is>
      </c>
      <c r="G4" s="20" t="inlineStr">
        <is>
          <t>Mercredi après-midi</t>
        </is>
      </c>
      <c r="H4" s="17" t="inlineStr"/>
      <c r="I4" s="17" t="inlineStr"/>
    </row>
    <row r="5">
      <c r="A5" s="17" t="inlineStr">
        <is>
          <t>BK2-08</t>
        </is>
      </c>
      <c r="B5" s="22" t="inlineStr">
        <is>
          <t>Back</t>
        </is>
      </c>
      <c r="C5" s="19" t="inlineStr">
        <is>
          <t>Fiche candidat, comparaison, notifications</t>
        </is>
      </c>
      <c r="D5" s="20" t="inlineStr">
        <is>
          <t>Toutes les candidatures d'un candidat, données de comparaison, notif candidature reçue / entretien planifié.</t>
        </is>
      </c>
      <c r="E5" s="21" t="inlineStr">
        <is>
          <t>java/recrutement/controller/CandidatController.java (/candidats/{id})
java/recrutement/controller/EvaluationController.java (/offres/{id}/comparaison)</t>
        </is>
      </c>
      <c r="F5" s="17" t="inlineStr">
        <is>
          <t>P2</t>
        </is>
      </c>
      <c r="G5" s="20" t="inlineStr">
        <is>
          <t>Jeudi</t>
        </is>
      </c>
      <c r="H5" s="17" t="inlineStr"/>
      <c r="I5" s="17" t="inlineStr"/>
    </row>
    <row r="6">
      <c r="A6" s="17" t="inlineStr">
        <is>
          <t>BK2-09</t>
        </is>
      </c>
      <c r="B6" s="22" t="inlineStr">
        <is>
          <t>Back</t>
        </is>
      </c>
      <c r="C6" s="19" t="inlineStr">
        <is>
          <t>Kanban, agenda, anti-spam</t>
        </is>
      </c>
      <c r="D6" s="20" t="inlineStr">
        <is>
          <t>Candidatures par statut, agenda des entretiens, limite anti-spam.</t>
        </is>
      </c>
      <c r="E6" s="21" t="inlineStr">
        <is>
          <t>java/recrutement/controller/CandidatureController.java (?vue=kanban)
java/recrutement/controller/EntretienController.java (/entretiens)</t>
        </is>
      </c>
      <c r="F6" s="17" t="inlineStr">
        <is>
          <t>P3</t>
        </is>
      </c>
      <c r="G6" s="20" t="inlineStr">
        <is>
          <t>Si temps</t>
        </is>
      </c>
      <c r="H6" s="17" t="inlineStr"/>
      <c r="I6" s="17" t="inlineStr"/>
    </row>
    <row r="7">
      <c r="A7" s="17" t="inlineStr">
        <is>
          <t>FR1-03</t>
        </is>
      </c>
      <c r="B7" s="24" t="inlineStr">
        <is>
          <t>Front</t>
        </is>
      </c>
      <c r="C7" s="19" t="inlineStr">
        <is>
          <t>Pages candidatures (statique)</t>
        </is>
      </c>
      <c r="D7" s="20" t="inlineStr">
        <is>
          <t>candidatures/liste (badges, filtres), candidatures/detail (infos, CV, entretiens, évaluations, note moyenne, boutons, rejet avec motif).</t>
        </is>
      </c>
      <c r="E7" s="21" t="inlineStr">
        <is>
          <t>templates/candidatures/liste.html
templates/candidatures/detail.html</t>
        </is>
      </c>
      <c r="F7" s="17" t="inlineStr">
        <is>
          <t>P1</t>
        </is>
      </c>
      <c r="G7" s="20" t="inlineStr">
        <is>
          <t>Mardi matin</t>
        </is>
      </c>
      <c r="H7" s="17" t="inlineStr"/>
      <c r="I7" s="17" t="inlineStr"/>
    </row>
    <row r="8">
      <c r="A8" s="17" t="inlineStr">
        <is>
          <t>FR1-04</t>
        </is>
      </c>
      <c r="B8" s="24" t="inlineStr">
        <is>
          <t>Front</t>
        </is>
      </c>
      <c r="C8" s="19" t="inlineStr">
        <is>
          <t>Formulaires entretien et évaluation (statique)</t>
        </is>
      </c>
      <c r="D8" s="20" t="inlineStr">
        <is>
          <t>entretiens/formulaire (type, date, heure, lieu/visio, évaluateurs), evaluations/formulaire (critères, avis, points forts/faibles).</t>
        </is>
      </c>
      <c r="E8" s="21" t="inlineStr">
        <is>
          <t>templates/entretiens/formulaire.html
templates/evaluations/formulaire.html</t>
        </is>
      </c>
      <c r="F8" s="17" t="inlineStr">
        <is>
          <t>P1</t>
        </is>
      </c>
      <c r="G8" s="20" t="inlineStr">
        <is>
          <t>Mardi après-midi</t>
        </is>
      </c>
      <c r="H8" s="17" t="inlineStr"/>
      <c r="I8" s="17" t="inlineStr"/>
    </row>
    <row r="9">
      <c r="A9" s="17" t="inlineStr">
        <is>
          <t>FR1-07</t>
        </is>
      </c>
      <c r="B9" s="24" t="inlineStr">
        <is>
          <t>Front</t>
        </is>
      </c>
      <c r="C9" s="19" t="inlineStr">
        <is>
          <t>Brancher entretiens et évaluations</t>
        </is>
      </c>
      <c r="D9" s="20" t="inlineStr">
        <is>
          <t>Afficher aussi les erreurs de validation renvoyées par le Back.</t>
        </is>
      </c>
      <c r="E9" s="21" t="inlineStr">
        <is>
          <t>templates/entretiens/formulaire.html
templates/evaluations/formulaire.html</t>
        </is>
      </c>
      <c r="F9" s="17" t="inlineStr">
        <is>
          <t>P1</t>
        </is>
      </c>
      <c r="G9" s="20" t="inlineStr">
        <is>
          <t>Jeudi matin</t>
        </is>
      </c>
      <c r="H9" s="17" t="inlineStr"/>
      <c r="I9" s="17" t="inlineStr"/>
    </row>
    <row r="10">
      <c r="A10" s="17" t="inlineStr">
        <is>
          <t>FR1-09</t>
        </is>
      </c>
      <c r="B10" s="24" t="inlineStr">
        <is>
          <t>Front</t>
        </is>
      </c>
      <c r="C10" s="19" t="inlineStr">
        <is>
          <t>Fiche candidat + comparaison</t>
        </is>
      </c>
      <c r="D10" s="20" t="inlineStr">
        <is>
          <t>candidats/detail, evaluations/comparaison.</t>
        </is>
      </c>
      <c r="E10" s="21" t="inlineStr">
        <is>
          <t>templates/candidats/detail.html
templates/evaluations/comparaison.html</t>
        </is>
      </c>
      <c r="F10" s="17" t="inlineStr">
        <is>
          <t>P2</t>
        </is>
      </c>
      <c r="G10" s="20" t="inlineStr">
        <is>
          <t>Si temps</t>
        </is>
      </c>
      <c r="H10" s="17" t="inlineStr"/>
      <c r="I10" s="17" t="inlineStr"/>
    </row>
    <row r="11">
      <c r="A11" s="17" t="inlineStr">
        <is>
          <t>FR1-10</t>
        </is>
      </c>
      <c r="B11" s="24" t="inlineStr">
        <is>
          <t>Front</t>
        </is>
      </c>
      <c r="C11" s="19" t="inlineStr">
        <is>
          <t>Vue Kanban + agenda</t>
        </is>
      </c>
      <c r="D11" s="20" t="inlineStr">
        <is>
          <t>candidatures/kanban, entretiens/agenda.</t>
        </is>
      </c>
      <c r="E11" s="21" t="inlineStr">
        <is>
          <t>templates/candidatures/kanban.html
templates/entretiens/agenda.html</t>
        </is>
      </c>
      <c r="F11" s="17" t="inlineStr">
        <is>
          <t>P3</t>
        </is>
      </c>
      <c r="G11" s="20" t="inlineStr">
        <is>
          <t>Si temps</t>
        </is>
      </c>
      <c r="H11" s="17" t="inlineStr"/>
      <c r="I11" s="17" t="inlineStr"/>
    </row>
  </sheetData>
  <autoFilter ref="A1:I11"/>
  <conditionalFormatting sqref="A2:I11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1" showDropDown="0" showInputMessage="0" showErrorMessage="0" allowBlank="1" type="list">
      <formula1>"En cours,Fait"</formula1>
    </dataValidation>
    <dataValidation sqref="I2:I11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DS2-03</t>
        </is>
      </c>
      <c r="B2" s="23" t="inlineStr">
        <is>
          <t>Design</t>
        </is>
      </c>
      <c r="C2" s="19" t="inlineStr">
        <is>
          <t>Basse fidélité bloc 3</t>
        </is>
      </c>
      <c r="D2" s="20" t="inlineStr">
        <is>
          <t>Formulaire de proposition, détail avec « accepte / refuse », liste des employés, dossier salarié en onglets.</t>
        </is>
      </c>
      <c r="E2" s="21" t="inlineStr">
        <is>
          <t>Figma : page « Bloc 3 — basse fidélité »</t>
        </is>
      </c>
      <c r="F2" s="17" t="inlineStr">
        <is>
          <t>P1</t>
        </is>
      </c>
      <c r="G2" s="20" t="inlineStr">
        <is>
          <t>Lundi après-midi</t>
        </is>
      </c>
      <c r="H2" s="17" t="inlineStr"/>
      <c r="I2" s="17" t="inlineStr"/>
    </row>
    <row r="3">
      <c r="A3" s="17" t="inlineStr">
        <is>
          <t>DS2-05</t>
        </is>
      </c>
      <c r="B3" s="23" t="inlineStr">
        <is>
          <t>Design</t>
        </is>
      </c>
      <c r="C3" s="19" t="inlineStr">
        <is>
          <t>Haute fidélité bloc 3</t>
        </is>
      </c>
      <c r="D3" s="20" t="inlineStr">
        <is>
          <t>Partir de DS2-03 et de la charte.</t>
        </is>
      </c>
      <c r="E3" s="21" t="inlineStr">
        <is>
          <t>Figma : page « Bloc 3 — haute fidélité »</t>
        </is>
      </c>
      <c r="F3" s="17" t="inlineStr">
        <is>
          <t>P1</t>
        </is>
      </c>
      <c r="G3" s="20" t="inlineStr">
        <is>
          <t>Mercredi matin</t>
        </is>
      </c>
      <c r="H3" s="17" t="inlineStr"/>
      <c r="I3" s="17" t="inlineStr"/>
    </row>
    <row r="4">
      <c r="A4" s="17" t="inlineStr">
        <is>
          <t>BK3-01</t>
        </is>
      </c>
      <c r="B4" s="22" t="inlineStr">
        <is>
          <t>Back</t>
        </is>
      </c>
      <c r="C4" s="19" t="inlineStr">
        <is>
          <t>Entités blocs 3 et 4</t>
        </is>
      </c>
      <c r="D4" s="20" t="inlineStr">
        <is>
          <t>Proposition, Statut_Proposition, Employe, Contrat, Statut_Contrat, Type_Contrat, Historique_Employe, Onboarding, Onboarding_Tache.</t>
        </is>
      </c>
      <c r="E4" s="21" t="inlineStr">
        <is>
          <t>java/embauche/entity/Proposition.java, StatutProposition.java, Employe.java, Contrat.java, StatutContrat.java, TypeContrat.java, HistoriqueEmploye.java
java/embauche/repository/…Repository.java (un par entité)
java/onboarding/entity/Onboarding.java, OnboardingTache.java
java/onboarding/repository/OnboardingRepository.java, OnboardingTacheRepository.java</t>
        </is>
      </c>
      <c r="F4" s="17" t="inlineStr">
        <is>
          <t>P1</t>
        </is>
      </c>
      <c r="G4" s="20" t="inlineStr">
        <is>
          <t>Lundi après-midi</t>
        </is>
      </c>
      <c r="H4" s="17" t="inlineStr"/>
      <c r="I4" s="17" t="inlineStr"/>
    </row>
    <row r="5">
      <c r="A5" s="17" t="inlineStr">
        <is>
          <t>BK3-05</t>
        </is>
      </c>
      <c r="B5" s="22" t="inlineStr">
        <is>
          <t>Back</t>
        </is>
      </c>
      <c r="C5" s="19" t="inlineStr">
        <is>
          <t>Proposition d'embauche + matricule</t>
        </is>
      </c>
      <c r="D5" s="20" t="inlineStr">
        <is>
          <t>Créer pour une candidature retenue seulement, envoyer, réponse accepte/refuse (motif). Matricule unique jamais réutilisé.</t>
        </is>
      </c>
      <c r="E5" s="21" t="inlineStr">
        <is>
          <t>java/embauche/controller/PropositionController.java (/candidatures/{id}/proposition, /propositions/{id}…)
java/embauche/service/PropositionService.java
java/embauche/service/MatriculeService.java
java/embauche/dto/PropositionFormulaire.java</t>
        </is>
      </c>
      <c r="F5" s="17" t="inlineStr">
        <is>
          <t>P1</t>
        </is>
      </c>
      <c r="G5" s="20" t="inlineStr">
        <is>
          <t>Mercredi matin</t>
        </is>
      </c>
      <c r="H5" s="17" t="inlineStr"/>
      <c r="I5" s="17" t="inlineStr"/>
    </row>
    <row r="6">
      <c r="A6" s="17" t="inlineStr">
        <is>
          <t>BK3-06</t>
        </is>
      </c>
      <c r="B6" s="22" t="inlineStr">
        <is>
          <t>Back</t>
        </is>
      </c>
      <c r="C6" s="19" t="inlineStr">
        <is>
          <t>Processus d'embauche (tout ou rien)</t>
        </is>
      </c>
      <c r="D6" s="20" t="inlineStr">
        <is>
          <t>À l'acceptation, en une transaction : Employe + matricule + lien candidat, Contrat « créé », poste occupé, actuels remplis + ligne d'historique, Onboarding + tâches, candidature embauchée, offre pourvue, redirection dossier.</t>
        </is>
      </c>
      <c r="E6" s="21" t="inlineStr">
        <is>
          <t>java/embauche/service/EmbaucheService.java (@Transactional)</t>
        </is>
      </c>
      <c r="F6" s="17" t="inlineStr">
        <is>
          <t>P1</t>
        </is>
      </c>
      <c r="G6" s="20" t="inlineStr">
        <is>
          <t>Mercredi après-midi</t>
        </is>
      </c>
      <c r="H6" s="17" t="inlineStr"/>
      <c r="I6" s="17" t="inlineStr"/>
    </row>
    <row r="7">
      <c r="A7" s="17" t="inlineStr">
        <is>
          <t>BK3-09</t>
        </is>
      </c>
      <c r="B7" s="22" t="inlineStr">
        <is>
          <t>Back</t>
        </is>
      </c>
      <c r="C7" s="19" t="inlineStr">
        <is>
          <t>Récapitulatif, changement de poste, réponse candidat</t>
        </is>
      </c>
      <c r="D7" s="20" t="inlineStr">
        <is>
          <t>Récap après acceptation, changement de poste (+ historique), justificatifs, réponse depuis l'espace candidat, mes tâches, notifications.</t>
        </is>
      </c>
      <c r="E7" s="21" t="inlineStr">
        <is>
          <t>java/embauche/controller/PropositionController.java (/recapitulatif)
java/embauche/controller/EmployeController.java (/changer-poste)
java/embauche/controller/PropositionCandidatController.java (/espace-candidat/propositions/{id})
java/onboarding/controller/OnboardingController.java (/mes-taches)</t>
        </is>
      </c>
      <c r="F7" s="17" t="inlineStr">
        <is>
          <t>P2</t>
        </is>
      </c>
      <c r="G7" s="20" t="inlineStr">
        <is>
          <t>Jeudi</t>
        </is>
      </c>
      <c r="H7" s="17" t="inlineStr"/>
      <c r="I7" s="17" t="inlineStr"/>
    </row>
    <row r="8">
      <c r="A8" s="17" t="inlineStr">
        <is>
          <t>FR2-05</t>
        </is>
      </c>
      <c r="B8" s="24" t="inlineStr">
        <is>
          <t>Front</t>
        </is>
      </c>
      <c r="C8" s="19" t="inlineStr">
        <is>
          <t>Pages proposition (statique)</t>
        </is>
      </c>
      <c r="D8" s="20" t="inlineStr">
        <is>
          <t>propositions/formulaire (salaire, date début, type, date limite), propositions/detail (accepte / refuse avec motif).</t>
        </is>
      </c>
      <c r="E8" s="21" t="inlineStr">
        <is>
          <t>templates/propositions/formulaire.html
templates/propositions/detail.html
static/css/rh.css</t>
        </is>
      </c>
      <c r="F8" s="17" t="inlineStr">
        <is>
          <t>P1</t>
        </is>
      </c>
      <c r="G8" s="20" t="inlineStr">
        <is>
          <t>Mardi</t>
        </is>
      </c>
      <c r="H8" s="17" t="inlineStr"/>
      <c r="I8" s="17" t="inlineStr"/>
    </row>
    <row r="9">
      <c r="A9" s="17" t="inlineStr">
        <is>
          <t>FR2-07</t>
        </is>
      </c>
      <c r="B9" s="24" t="inlineStr">
        <is>
          <t>Front</t>
        </is>
      </c>
      <c r="C9" s="19" t="inlineStr">
        <is>
          <t>Brancher proposition + acceptation</t>
        </is>
      </c>
      <c r="D9" s="20" t="inlineStr">
        <is>
          <t>Après acceptation, arriver sur le dossier du nouvel employé.</t>
        </is>
      </c>
      <c r="E9" s="21" t="inlineStr">
        <is>
          <t>templates/propositions/detail.html
templates/onboarding/checklist.html</t>
        </is>
      </c>
      <c r="F9" s="17" t="inlineStr">
        <is>
          <t>P1</t>
        </is>
      </c>
      <c r="G9" s="20" t="inlineStr">
        <is>
          <t>Jeudi matin</t>
        </is>
      </c>
      <c r="H9" s="17" t="inlineStr"/>
      <c r="I9" s="17" t="inlineStr"/>
    </row>
    <row r="10">
      <c r="A10" s="17" t="inlineStr">
        <is>
          <t>FR2-09</t>
        </is>
      </c>
      <c r="B10" s="24" t="inlineStr">
        <is>
          <t>Front</t>
        </is>
      </c>
      <c r="C10" s="19" t="inlineStr">
        <is>
          <t>Récap, documents, changement de poste</t>
        </is>
      </c>
      <c r="D10" s="20" t="inlineStr">
        <is>
          <t>propositions/recapitulatif, onglet Documents avec upload, employes/changer-poste, mes tâches.</t>
        </is>
      </c>
      <c r="E10" s="21" t="inlineStr">
        <is>
          <t>templates/propositions/recapitulatif.html
templates/employes/changer-poste.html
templates/employes/dossier.html (onglet Documents)
templates/onboarding/mes-taches.html
templates/espace-candidat/proposition.html (dossier de FR1 : prévenir FR1)</t>
        </is>
      </c>
      <c r="F10" s="17" t="inlineStr">
        <is>
          <t>P2</t>
        </is>
      </c>
      <c r="G10" s="20" t="inlineStr">
        <is>
          <t>Si temps</t>
        </is>
      </c>
      <c r="H10" s="17" t="inlineStr"/>
      <c r="I10" s="17" t="inlineStr"/>
    </row>
  </sheetData>
  <autoFilter ref="A1:I10"/>
  <conditionalFormatting sqref="A2:I10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0" showDropDown="0" showInputMessage="0" showErrorMessage="0" allowBlank="1" type="list">
      <formula1>"En cours,Fait"</formula1>
    </dataValidation>
    <dataValidation sqref="I2:I10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DS1-05</t>
        </is>
      </c>
      <c r="B2" s="23" t="inlineStr">
        <is>
          <t>Design</t>
        </is>
      </c>
      <c r="C2" s="19" t="inlineStr">
        <is>
          <t>Basse fidélité bloc 4</t>
        </is>
      </c>
      <c r="D2" s="20" t="inlineStr">
        <is>
          <t>Onglet contrats (frise CE → CDD → CDI), onglet historique, formulaire contrat (date de fin masquée pour CDI).</t>
        </is>
      </c>
      <c r="E2" s="21" t="inlineStr">
        <is>
          <t>Figma : page « Bloc 4 — basse fidélité »</t>
        </is>
      </c>
      <c r="F2" s="17" t="inlineStr">
        <is>
          <t>P1</t>
        </is>
      </c>
      <c r="G2" s="20" t="inlineStr">
        <is>
          <t>Lundi après-midi</t>
        </is>
      </c>
      <c r="H2" s="17" t="inlineStr"/>
      <c r="I2" s="17" t="inlineStr"/>
    </row>
    <row r="3">
      <c r="A3" s="17" t="inlineStr">
        <is>
          <t>DS1-08</t>
        </is>
      </c>
      <c r="B3" s="23" t="inlineStr">
        <is>
          <t>Design</t>
        </is>
      </c>
      <c r="C3" s="19" t="inlineStr">
        <is>
          <t>Haute fidélité bloc 4</t>
        </is>
      </c>
      <c r="D3" s="20" t="inlineStr">
        <is>
          <t>Partir de DS1-05 et de la charte.</t>
        </is>
      </c>
      <c r="E3" s="21" t="inlineStr">
        <is>
          <t>Figma : page « Bloc 4 — haute fidélité »</t>
        </is>
      </c>
      <c r="F3" s="17" t="inlineStr">
        <is>
          <t>P1</t>
        </is>
      </c>
      <c r="G3" s="20" t="inlineStr">
        <is>
          <t>Mercredi matin</t>
        </is>
      </c>
      <c r="H3" s="17" t="inlineStr"/>
      <c r="I3" s="17" t="inlineStr"/>
    </row>
    <row r="4">
      <c r="A4" s="17" t="inlineStr">
        <is>
          <t>BK3-02</t>
        </is>
      </c>
      <c r="B4" s="22" t="inlineStr">
        <is>
          <t>Back</t>
        </is>
      </c>
      <c r="C4" s="19" t="inlineStr">
        <is>
          <t>Données de démo blocs 3 et 4</t>
        </is>
      </c>
      <c r="D4" s="20" t="inlineStr">
        <is>
          <t>6 tâches d'onboarding par défaut, 3 employés dont un CE → CDD → CDI (3 contrats + 3 lignes d'historique), un onboarding à moitié fait.</t>
        </is>
      </c>
      <c r="E4" s="21" t="inlineStr">
        <is>
          <t>java/embauche/demo/DonneesDemoEmbauche.java
java/onboarding/demo/DonneesDemoOnboarding.java</t>
        </is>
      </c>
      <c r="F4" s="17" t="inlineStr">
        <is>
          <t>P1</t>
        </is>
      </c>
      <c r="G4" s="20" t="inlineStr">
        <is>
          <t>Lundi soir</t>
        </is>
      </c>
      <c r="H4" s="17" t="inlineStr"/>
      <c r="I4" s="17" t="inlineStr"/>
    </row>
    <row r="5">
      <c r="A5" s="17" t="inlineStr">
        <is>
          <t>BK3-03</t>
        </is>
      </c>
      <c r="B5" s="22" t="inlineStr">
        <is>
          <t>Back</t>
        </is>
      </c>
      <c r="C5" s="19" t="inlineStr">
        <is>
          <t>Liste des employés + dossier salarié</t>
        </is>
      </c>
      <c r="D5" s="20" t="inlineStr">
        <is>
          <t>/employes (recherche nom/matricule), /employes/{id}?onglet=… avec identité, contrats, historique, documents, onboarding, origine.</t>
        </is>
      </c>
      <c r="E5" s="21" t="inlineStr">
        <is>
          <t>java/embauche/controller/EmployeController.java (/employes, /employes/{id})
java/embauche/service/EmployeService.java</t>
        </is>
      </c>
      <c r="F5" s="17" t="inlineStr">
        <is>
          <t>P1</t>
        </is>
      </c>
      <c r="G5" s="20" t="inlineStr">
        <is>
          <t>Mardi matin</t>
        </is>
      </c>
      <c r="H5" s="17" t="inlineStr"/>
      <c r="I5" s="17" t="inlineStr"/>
    </row>
    <row r="6">
      <c r="A6" s="17" t="inlineStr">
        <is>
          <t>BK3-04</t>
        </is>
      </c>
      <c r="B6" s="22" t="inlineStr">
        <is>
          <t>Back</t>
        </is>
      </c>
      <c r="C6" s="19" t="inlineStr">
        <is>
          <t>Contrats</t>
        </is>
      </c>
      <c r="D6" s="20" t="inlineStr">
        <is>
          <t>Nouveau, signer, valider, annuler, rompre (motif). Renouvellement / CDI = nouveau contrat lié au précédent. Signé = non modifiable. Un seul validé, pas de chevauchement. CE/CDD : date de fin obligatoire.</t>
        </is>
      </c>
      <c r="E6" s="21" t="inlineStr">
        <is>
          <t>java/embauche/controller/ContratController.java (/employes/{id}/contrats/nouveau, /contrats/{id}…)
java/embauche/service/ContratService.java
java/embauche/service/ContratWorkflow.java
java/embauche/dto/ContratFormulaire.java</t>
        </is>
      </c>
      <c r="F6" s="17" t="inlineStr">
        <is>
          <t>P1</t>
        </is>
      </c>
      <c r="G6" s="20" t="inlineStr">
        <is>
          <t>Mardi après-midi</t>
        </is>
      </c>
      <c r="H6" s="17" t="inlineStr"/>
      <c r="I6" s="17" t="inlineStr"/>
    </row>
    <row r="7">
      <c r="A7" s="17" t="inlineStr">
        <is>
          <t>FR2-01</t>
        </is>
      </c>
      <c r="B7" s="24" t="inlineStr">
        <is>
          <t>Front</t>
        </is>
      </c>
      <c r="C7" s="19" t="inlineStr">
        <is>
          <t>Dossier salarié en onglets (statique)</t>
        </is>
      </c>
      <c r="D7" s="20" t="inlineStr">
        <is>
          <t>employes/dossier : Identité · Contrats · Historique · Documents · Onboarding · Origine, onglet selon ?onglet=. Données d'exemple.</t>
        </is>
      </c>
      <c r="E7" s="21" t="inlineStr">
        <is>
          <t>templates/employes/dossier.html
static/css/rh.css</t>
        </is>
      </c>
      <c r="F7" s="17" t="inlineStr">
        <is>
          <t>P1</t>
        </is>
      </c>
      <c r="G7" s="20" t="inlineStr">
        <is>
          <t>Lundi matin</t>
        </is>
      </c>
      <c r="H7" s="17" t="inlineStr"/>
      <c r="I7" s="17" t="inlineStr"/>
    </row>
    <row r="8">
      <c r="A8" s="17" t="inlineStr">
        <is>
          <t>FR2-02</t>
        </is>
      </c>
      <c r="B8" s="24" t="inlineStr">
        <is>
          <t>Front</t>
        </is>
      </c>
      <c r="C8" s="19" t="inlineStr">
        <is>
          <t>Liste des employés (statique)</t>
        </is>
      </c>
      <c r="D8" s="20" t="inlineStr">
        <is>
          <t>employes/liste : recherche nom/matricule, filtres département/statut.</t>
        </is>
      </c>
      <c r="E8" s="21" t="inlineStr">
        <is>
          <t>templates/employes/liste.html</t>
        </is>
      </c>
      <c r="F8" s="17" t="inlineStr">
        <is>
          <t>P1</t>
        </is>
      </c>
      <c r="G8" s="20" t="inlineStr">
        <is>
          <t>Lundi après-midi</t>
        </is>
      </c>
      <c r="H8" s="17" t="inlineStr"/>
      <c r="I8" s="17" t="inlineStr"/>
    </row>
    <row r="9">
      <c r="A9" s="17" t="inlineStr">
        <is>
          <t>FR2-03</t>
        </is>
      </c>
      <c r="B9" s="24" t="inlineStr">
        <is>
          <t>Front</t>
        </is>
      </c>
      <c r="C9" s="19" t="inlineStr">
        <is>
          <t>Onglet Contrats + formulaire contrat</t>
        </is>
      </c>
      <c r="D9" s="20" t="inlineStr">
        <is>
          <t>Frise des contrats, contrat validé en avant, badges. contrats/formulaire (nouveau / renouvellement / CDI), date de fin masquée pour CDI.</t>
        </is>
      </c>
      <c r="E9" s="21" t="inlineStr">
        <is>
          <t>templates/employes/dossier.html (onglet Contrats)
templates/contrats/formulaire.html</t>
        </is>
      </c>
      <c r="F9" s="17" t="inlineStr">
        <is>
          <t>P1</t>
        </is>
      </c>
      <c r="G9" s="20" t="inlineStr">
        <is>
          <t>Mardi matin</t>
        </is>
      </c>
      <c r="H9" s="17" t="inlineStr"/>
      <c r="I9" s="17" t="inlineStr"/>
    </row>
    <row r="10">
      <c r="A10" s="17" t="inlineStr">
        <is>
          <t>FR2-06</t>
        </is>
      </c>
      <c r="B10" s="24" t="inlineStr">
        <is>
          <t>Front</t>
        </is>
      </c>
      <c r="C10" s="19" t="inlineStr">
        <is>
          <t>Brancher employés, dossier, contrats</t>
        </is>
      </c>
      <c r="D10" s="20" t="inlineStr">
        <is>
          <t>Variables du contrat d'interface (employes, employe, formulaire, actionsPossibles).</t>
        </is>
      </c>
      <c r="E10" s="21" t="inlineStr">
        <is>
          <t>templates/employes/liste.html
templates/employes/dossier.html
templates/contrats/formulaire.html</t>
        </is>
      </c>
      <c r="F10" s="17" t="inlineStr">
        <is>
          <t>P1</t>
        </is>
      </c>
      <c r="G10" s="20" t="inlineStr">
        <is>
          <t>Mercredi</t>
        </is>
      </c>
      <c r="H10" s="17" t="inlineStr"/>
      <c r="I10" s="17" t="inlineStr"/>
    </row>
  </sheetData>
  <autoFilter ref="A1:I10"/>
  <conditionalFormatting sqref="A2:I10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0" showDropDown="0" showInputMessage="0" showErrorMessage="0" allowBlank="1" type="list">
      <formula1>"En cours,Fait"</formula1>
    </dataValidation>
    <dataValidation sqref="I2:I10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BK3-07</t>
        </is>
      </c>
      <c r="B2" s="22" t="inlineStr">
        <is>
          <t>Back</t>
        </is>
      </c>
      <c r="C2" s="19" t="inlineStr">
        <is>
          <t>Onboarding</t>
        </is>
      </c>
      <c r="D2" s="20" t="inlineStr">
        <is>
          <t>Changer le statut d'une tâche (responsable + RH), progression, fin auto quand tout est fait / non applicable. « Contrat signé » cochable seulement si le contrat est signé.</t>
        </is>
      </c>
      <c r="E2" s="21" t="inlineStr">
        <is>
          <t>java/onboarding/controller/OnboardingController.java (/onboardings/{id}, /onboarding-taches/{id}/statut)
java/onboarding/service/OnboardingService.java</t>
        </is>
      </c>
      <c r="F2" s="17" t="inlineStr">
        <is>
          <t>P1</t>
        </is>
      </c>
      <c r="G2" s="20" t="inlineStr">
        <is>
          <t>Jeudi matin</t>
        </is>
      </c>
      <c r="H2" s="17" t="inlineStr"/>
      <c r="I2" s="17" t="inlineStr"/>
    </row>
    <row r="3">
      <c r="A3" s="17" t="inlineStr">
        <is>
          <t>BK3-10</t>
        </is>
      </c>
      <c r="B3" s="22" t="inlineStr">
        <is>
          <t>Back</t>
        </is>
      </c>
      <c r="C3" s="19" t="inlineStr">
        <is>
          <t>Modèles de tâches + alerte fin de contrat</t>
        </is>
      </c>
      <c r="D3" s="20" t="inlineStr">
        <is>
          <t>Modèles modifiables par les RH.</t>
        </is>
      </c>
      <c r="E3" s="21" t="inlineStr">
        <is>
          <t>java/onboarding/entity/ModeleTache.java
java/onboarding/repository/ModeleTacheRepository.java
java/onboarding/controller/ModeleOnboardingController.java (/admin/modeles-onboarding)</t>
        </is>
      </c>
      <c r="F3" s="17" t="inlineStr">
        <is>
          <t>P3</t>
        </is>
      </c>
      <c r="G3" s="20" t="inlineStr">
        <is>
          <t>Si temps</t>
        </is>
      </c>
      <c r="H3" s="17" t="inlineStr"/>
      <c r="I3" s="17" t="inlineStr"/>
    </row>
    <row r="4">
      <c r="A4" s="17" t="inlineStr">
        <is>
          <t>FR2-04</t>
        </is>
      </c>
      <c r="B4" s="24" t="inlineStr">
        <is>
          <t>Front</t>
        </is>
      </c>
      <c r="C4" s="19" t="inlineStr">
        <is>
          <t>Checklist d'onboarding + onglet Historique</t>
        </is>
      </c>
      <c r="D4" s="20" t="inlineStr">
        <is>
          <t>onboarding/checklist : tâches par catégorie, responsable, échéance, statut, barre de progression, retards en rouge. Onglet Historique du dossier.</t>
        </is>
      </c>
      <c r="E4" s="21" t="inlineStr">
        <is>
          <t>templates/onboarding/checklist.html
templates/employes/dossier.html (onglet Historique)</t>
        </is>
      </c>
      <c r="F4" s="17" t="inlineStr">
        <is>
          <t>P1</t>
        </is>
      </c>
      <c r="G4" s="20" t="inlineStr">
        <is>
          <t>Mardi après-midi</t>
        </is>
      </c>
      <c r="H4" s="17" t="inlineStr"/>
      <c r="I4" s="17" t="inlineStr"/>
    </row>
    <row r="5">
      <c r="A5" s="17" t="inlineStr">
        <is>
          <t>FR2-10</t>
        </is>
      </c>
      <c r="B5" s="24" t="inlineStr">
        <is>
          <t>Front</t>
        </is>
      </c>
      <c r="C5" s="19" t="inlineStr">
        <is>
          <t>Page modèles de tâches</t>
        </is>
      </c>
      <c r="D5" s="20" t="inlineStr">
        <is>
          <t>onboarding/modeles.</t>
        </is>
      </c>
      <c r="E5" s="21" t="inlineStr">
        <is>
          <t>templates/onboarding/modeles.html</t>
        </is>
      </c>
      <c r="F5" s="17" t="inlineStr">
        <is>
          <t>P3</t>
        </is>
      </c>
      <c r="G5" s="20" t="inlineStr">
        <is>
          <t>Si temps</t>
        </is>
      </c>
      <c r="H5" s="17" t="inlineStr"/>
      <c r="I5" s="17" t="inlineStr"/>
    </row>
  </sheetData>
  <autoFilter ref="A1:I5"/>
  <conditionalFormatting sqref="A2:I5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5" showDropDown="0" showInputMessage="0" showErrorMessage="0" allowBlank="1" type="list">
      <formula1>"En cours,Fait"</formula1>
    </dataValidation>
    <dataValidation sqref="I2:I5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DS1-09</t>
        </is>
      </c>
      <c r="B2" s="23" t="inlineStr">
        <is>
          <t>Design</t>
        </is>
      </c>
      <c r="C2" s="19" t="inlineStr">
        <is>
          <t>Tableau de bord, notifications, erreurs</t>
        </is>
      </c>
      <c r="D2" s="20" t="inlineStr">
        <is>
          <t>Dashboard Manager / RH / Finance, panneau notifications, pages 403/404/500.</t>
        </is>
      </c>
      <c r="E2" s="21" t="inlineStr">
        <is>
          <t>Figma : page « Tableau de bord »</t>
        </is>
      </c>
      <c r="F2" s="17" t="inlineStr">
        <is>
          <t>P2</t>
        </is>
      </c>
      <c r="G2" s="20" t="inlineStr">
        <is>
          <t>Mercredi après-midi</t>
        </is>
      </c>
      <c r="H2" s="17" t="inlineStr"/>
      <c r="I2" s="17" t="inlineStr"/>
    </row>
    <row r="3">
      <c r="A3" s="17" t="inlineStr">
        <is>
          <t>BK0-07</t>
        </is>
      </c>
      <c r="B3" s="22" t="inlineStr">
        <is>
          <t>Back</t>
        </is>
      </c>
      <c r="C3" s="19" t="inlineStr">
        <is>
          <t>Service de notifications</t>
        </is>
      </c>
      <c r="D3" s="20" t="inlineStr">
        <is>
          <t>Notifier en une ligne, compteur de non lues partout, /notifications, marquer comme lu.</t>
        </is>
      </c>
      <c r="E3" s="21" t="inlineStr">
        <is>
          <t>java/commun/service/NotificationService.java
java/commun/controller/NotificationController.java (/notifications)
java/commun/controller/UtilisateurConnecteAdvice.java (compteur non lues)</t>
        </is>
      </c>
      <c r="F3" s="17" t="inlineStr">
        <is>
          <t>P2</t>
        </is>
      </c>
      <c r="G3" s="20" t="inlineStr">
        <is>
          <t>Mercredi matin</t>
        </is>
      </c>
      <c r="H3" s="17" t="inlineStr"/>
      <c r="I3" s="17" t="inlineStr"/>
    </row>
    <row r="4">
      <c r="A4" s="17" t="inlineStr">
        <is>
          <t>BK0-08</t>
        </is>
      </c>
      <c r="B4" s="22" t="inlineStr">
        <is>
          <t>Back</t>
        </is>
      </c>
      <c r="C4" s="19" t="inlineStr">
        <is>
          <t>Journal d'audit automatique</t>
        </is>
      </c>
      <c r="D4" s="20" t="inlineStr">
        <is>
          <t>Écrire une ligne à chaque changement de statut (dans le moteur de statuts).</t>
        </is>
      </c>
      <c r="E4" s="21" t="inlineStr">
        <is>
          <t>java/commun/service/AuditService.java
java/commun/workflow/MoteurStatuts.java (appel à l'audit)</t>
        </is>
      </c>
      <c r="F4" s="17" t="inlineStr">
        <is>
          <t>P2</t>
        </is>
      </c>
      <c r="G4" s="20" t="inlineStr">
        <is>
          <t>Mercredi après-midi</t>
        </is>
      </c>
      <c r="H4" s="17" t="inlineStr"/>
      <c r="I4" s="17" t="inlineStr"/>
    </row>
    <row r="5">
      <c r="A5" s="17" t="inlineStr">
        <is>
          <t>BK0-09</t>
        </is>
      </c>
      <c r="B5" s="22" t="inlineStr">
        <is>
          <t>Back</t>
        </is>
      </c>
      <c r="C5" s="19" t="inlineStr">
        <is>
          <t>Tableau de bord (données)</t>
        </is>
      </c>
      <c r="D5" s="20" t="inlineStr">
        <is>
          <t>/tableau-de-bord : chiffres clés par rôle, calculés sur les tables existantes (0 si vide).</t>
        </is>
      </c>
      <c r="E5" s="21" t="inlineStr">
        <is>
          <t>java/commun/controller/TableauDeBordController.java (/tableau-de-bord)
java/commun/service/TableauDeBordService.java</t>
        </is>
      </c>
      <c r="F5" s="17" t="inlineStr">
        <is>
          <t>P1 / P2</t>
        </is>
      </c>
      <c r="G5" s="20" t="inlineStr">
        <is>
          <t>Jeudi matin</t>
        </is>
      </c>
      <c r="H5" s="17" t="inlineStr"/>
      <c r="I5" s="17" t="inlineStr"/>
    </row>
    <row r="6">
      <c r="A6" s="17" t="inlineStr">
        <is>
          <t>FR0-09</t>
        </is>
      </c>
      <c r="B6" s="24" t="inlineStr">
        <is>
          <t>Front</t>
        </is>
      </c>
      <c r="C6" s="19" t="inlineStr">
        <is>
          <t>Tableau de bord + cloche</t>
        </is>
      </c>
      <c r="D6" s="20" t="inlineStr">
        <is>
          <t>dashboard/accueil : cartes de chiffres par rôle (données d'exemple puis branchement), cloche avec compteur.</t>
        </is>
      </c>
      <c r="E6" s="21" t="inlineStr">
        <is>
          <t>templates/dashboard/accueil.html
templates/fragments/entete.html (cloche)</t>
        </is>
      </c>
      <c r="F6" s="17" t="inlineStr">
        <is>
          <t>P1 / P2</t>
        </is>
      </c>
      <c r="G6" s="20" t="inlineStr">
        <is>
          <t>Mercredi / jeudi</t>
        </is>
      </c>
      <c r="H6" s="17" t="inlineStr"/>
      <c r="I6" s="17" t="inlineStr"/>
    </row>
  </sheetData>
  <autoFilter ref="A1:I6"/>
  <conditionalFormatting sqref="A2:I6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6" showDropDown="0" showInputMessage="0" showErrorMessage="0" allowBlank="1" type="list">
      <formula1>"En cours,Fait"</formula1>
    </dataValidation>
    <dataValidation sqref="I2:I6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2" customWidth="1" min="4" max="4"/>
    <col width="62" customWidth="1" min="5" max="5"/>
    <col width="9" customWidth="1" min="6" max="6"/>
    <col width="16" customWidth="1" min="7" max="7"/>
    <col width="13" customWidth="1" min="8" max="8"/>
    <col width="15" customWidth="1" min="9" max="9"/>
  </cols>
  <sheetData>
    <row r="1">
      <c r="A1" s="16" t="inlineStr">
        <is>
          <t>ID</t>
        </is>
      </c>
      <c r="B1" s="16" t="inlineStr">
        <is>
          <t>Équipe</t>
        </is>
      </c>
      <c r="C1" s="16" t="inlineStr">
        <is>
          <t>Tâche</t>
        </is>
      </c>
      <c r="D1" s="16" t="inlineStr">
        <is>
          <t>Détails (faisable sans attendre personne)</t>
        </is>
      </c>
      <c r="E1" s="16" t="inlineStr">
        <is>
          <t>Dossier / fichiers</t>
        </is>
      </c>
      <c r="F1" s="16" t="inlineStr">
        <is>
          <t>Priorité</t>
        </is>
      </c>
      <c r="G1" s="16" t="inlineStr">
        <is>
          <t>Jour conseillé</t>
        </is>
      </c>
      <c r="H1" s="16" t="inlineStr">
        <is>
          <t>Status</t>
        </is>
      </c>
      <c r="I1" s="16" t="inlineStr">
        <is>
          <t>Fait par</t>
        </is>
      </c>
    </row>
    <row r="2">
      <c r="A2" s="17" t="inlineStr">
        <is>
          <t>BK1-08</t>
        </is>
      </c>
      <c r="B2" s="22" t="inlineStr">
        <is>
          <t>Back</t>
        </is>
      </c>
      <c r="C2" s="19" t="inlineStr">
        <is>
          <t>Tests du bloc 1</t>
        </is>
      </c>
      <c r="D2" s="20" t="inlineStr">
        <is>
          <t>Transitions autorisées OK, interdites refusées, manager isolé à son département.</t>
        </is>
      </c>
      <c r="E2" s="21" t="inlineStr">
        <is>
          <t>test/besoin/BesoinWorkflowTests.java
test/besoin/BesoinControllerTests.java</t>
        </is>
      </c>
      <c r="F2" s="17" t="inlineStr">
        <is>
          <t>P1</t>
        </is>
      </c>
      <c r="G2" s="20" t="inlineStr">
        <is>
          <t>Jeudi matin</t>
        </is>
      </c>
      <c r="H2" s="17" t="inlineStr"/>
      <c r="I2" s="17" t="inlineStr"/>
    </row>
    <row r="3">
      <c r="A3" s="17" t="inlineStr">
        <is>
          <t>BK2-07</t>
        </is>
      </c>
      <c r="B3" s="22" t="inlineStr">
        <is>
          <t>Back</t>
        </is>
      </c>
      <c r="C3" s="19" t="inlineStr">
        <is>
          <t>Tests du bloc 2</t>
        </is>
      </c>
      <c r="D3" s="20" t="inlineStr">
        <is>
          <t>Candidat réutilisé, double candidature refusée, offre expirée invisible, évaluateur non assigné refusé.</t>
        </is>
      </c>
      <c r="E3" s="21" t="inlineStr">
        <is>
          <t>test/recrutement/CandidatureServiceTests.java
test/recrutement/EvaluationServiceTests.java</t>
        </is>
      </c>
      <c r="F3" s="17" t="inlineStr">
        <is>
          <t>P1</t>
        </is>
      </c>
      <c r="G3" s="20" t="inlineStr">
        <is>
          <t>Jeudi matin</t>
        </is>
      </c>
      <c r="H3" s="17" t="inlineStr"/>
      <c r="I3" s="17" t="inlineStr"/>
    </row>
    <row r="4">
      <c r="A4" s="17" t="inlineStr">
        <is>
          <t>BK3-08</t>
        </is>
      </c>
      <c r="B4" s="22" t="inlineStr">
        <is>
          <t>Back</t>
        </is>
      </c>
      <c r="C4" s="19" t="inlineStr">
        <is>
          <t>Tests blocs 3 et 4</t>
        </is>
      </c>
      <c r="D4" s="20" t="inlineStr">
        <is>
          <t>Embauche crée tout, échec = rien créé, CE → CDD → CDI conservé, chevauchement refusé, matricule unique, employé ne voit que son dossier.</t>
        </is>
      </c>
      <c r="E4" s="21" t="inlineStr">
        <is>
          <t>test/embauche/EmbaucheServiceTests.java
test/embauche/ContratServiceTests.java
test/embauche/MatriculeServiceTests.java</t>
        </is>
      </c>
      <c r="F4" s="17" t="inlineStr">
        <is>
          <t>P1</t>
        </is>
      </c>
      <c r="G4" s="20" t="inlineStr">
        <is>
          <t>Jeudi matin</t>
        </is>
      </c>
      <c r="H4" s="17" t="inlineStr"/>
      <c r="I4" s="17" t="inlineStr"/>
    </row>
    <row r="5">
      <c r="A5" s="17" t="inlineStr">
        <is>
          <t>BK0-10</t>
        </is>
      </c>
      <c r="B5" s="22" t="inlineStr">
        <is>
          <t>Back</t>
        </is>
      </c>
      <c r="C5" s="19" t="inlineStr">
        <is>
          <t>Relecture sécurité</t>
        </is>
      </c>
      <c r="D5" s="20" t="inlineStr">
        <is>
          <t>Chaque URL testée avec chaque rôle, upload, pas de données sensibles dans les logs.</t>
        </is>
      </c>
      <c r="E5" s="21" t="inlineStr">
        <is>
          <t>test/commun/SecuriteTests.java</t>
        </is>
      </c>
      <c r="F5" s="17" t="inlineStr">
        <is>
          <t>P1</t>
        </is>
      </c>
      <c r="G5" s="20" t="inlineStr">
        <is>
          <t>Jeudi après-midi</t>
        </is>
      </c>
      <c r="H5" s="17" t="inlineStr"/>
      <c r="I5" s="17" t="inlineStr"/>
    </row>
    <row r="6">
      <c r="A6" s="17" t="inlineStr">
        <is>
          <t>FR0-11</t>
        </is>
      </c>
      <c r="B6" s="24" t="inlineStr">
        <is>
          <t>Front</t>
        </is>
      </c>
      <c r="C6" s="19" t="inlineStr">
        <is>
          <t>CSRF + console propre</t>
        </is>
      </c>
      <c r="D6" s="20" t="inlineStr">
        <is>
          <t>Tous les formulaires envoient le jeton CSRF, aucune erreur console.</t>
        </is>
      </c>
      <c r="E6" s="21" t="inlineStr">
        <is>
          <t>templates/**/*.html (tous les formulaires : th:action)</t>
        </is>
      </c>
      <c r="F6" s="17" t="inlineStr">
        <is>
          <t>P1</t>
        </is>
      </c>
      <c r="G6" s="20" t="inlineStr">
        <is>
          <t>Jeudi</t>
        </is>
      </c>
      <c r="H6" s="17" t="inlineStr"/>
      <c r="I6" s="17" t="inlineStr"/>
    </row>
    <row r="7">
      <c r="A7" s="17" t="inlineStr">
        <is>
          <t>DS1-10</t>
        </is>
      </c>
      <c r="B7" s="23" t="inlineStr">
        <is>
          <t>Design</t>
        </is>
      </c>
      <c r="C7" s="19" t="inlineStr">
        <is>
          <t>Revue écrans réels FR0 / FR2</t>
        </is>
      </c>
      <c r="D7" s="20" t="inlineStr">
        <is>
          <t>Lister les écarts avec les maquettes par importance.</t>
        </is>
      </c>
      <c r="E7" s="21" t="inlineStr">
        <is>
          <t>Feuille : notes sous la tâche (ou TODO.md)</t>
        </is>
      </c>
      <c r="F7" s="17" t="inlineStr">
        <is>
          <t>P1</t>
        </is>
      </c>
      <c r="G7" s="20" t="inlineStr">
        <is>
          <t>Jeudi</t>
        </is>
      </c>
      <c r="H7" s="17" t="inlineStr"/>
      <c r="I7" s="17" t="inlineStr"/>
    </row>
    <row r="8">
      <c r="A8" s="17" t="inlineStr">
        <is>
          <t>DS2-07</t>
        </is>
      </c>
      <c r="B8" s="23" t="inlineStr">
        <is>
          <t>Design</t>
        </is>
      </c>
      <c r="C8" s="19" t="inlineStr">
        <is>
          <t>Revue écrans réels FR1 / FR2 + test utilisateur</t>
        </is>
      </c>
      <c r="D8" s="20" t="inlineStr">
        <is>
          <t>Faire faire le scénario à 2 personnes extérieures.</t>
        </is>
      </c>
      <c r="E8" s="21" t="inlineStr">
        <is>
          <t>Feuille : notes sous la tâche (ou TODO.md)</t>
        </is>
      </c>
      <c r="F8" s="17" t="inlineStr">
        <is>
          <t>P1</t>
        </is>
      </c>
      <c r="G8" s="20" t="inlineStr">
        <is>
          <t>Jeudi</t>
        </is>
      </c>
      <c r="H8" s="17" t="inlineStr"/>
      <c r="I8" s="17" t="inlineStr"/>
    </row>
    <row r="9">
      <c r="A9" s="17" t="inlineStr">
        <is>
          <t>FR0-10</t>
        </is>
      </c>
      <c r="B9" s="24" t="inlineStr">
        <is>
          <t>Front</t>
        </is>
      </c>
      <c r="C9" s="19" t="inlineStr">
        <is>
          <t>Corrections Design + responsive bloc 1</t>
        </is>
      </c>
      <c r="D9" s="20" t="inlineStr">
        <is>
          <t>Gabarit et pages du bloc 1 sur téléphone.</t>
        </is>
      </c>
      <c r="E9" s="21" t="inlineStr">
        <is>
          <t>templates/fragments/*.html
templates/besoins/, postes/
static/css/style.css</t>
        </is>
      </c>
      <c r="F9" s="17" t="inlineStr">
        <is>
          <t>P1</t>
        </is>
      </c>
      <c r="G9" s="20" t="inlineStr">
        <is>
          <t>Jeudi après-midi</t>
        </is>
      </c>
      <c r="H9" s="17" t="inlineStr"/>
      <c r="I9" s="17" t="inlineStr"/>
    </row>
    <row r="10">
      <c r="A10" s="17" t="inlineStr">
        <is>
          <t>FR1-08</t>
        </is>
      </c>
      <c r="B10" s="24" t="inlineStr">
        <is>
          <t>Front</t>
        </is>
      </c>
      <c r="C10" s="19" t="inlineStr">
        <is>
          <t>Corrections Design + responsive bloc 2</t>
        </is>
      </c>
      <c r="D10" s="20" t="inlineStr">
        <is>
          <t>Pages offres, carrières, candidatures sur téléphone.</t>
        </is>
      </c>
      <c r="E10" s="21" t="inlineStr">
        <is>
          <t>templates/public/, offres/, candidatures/, entretiens/, evaluations/
static/css/recrutement.css</t>
        </is>
      </c>
      <c r="F10" s="17" t="inlineStr">
        <is>
          <t>P1</t>
        </is>
      </c>
      <c r="G10" s="20" t="inlineStr">
        <is>
          <t>Jeudi après-midi</t>
        </is>
      </c>
      <c r="H10" s="17" t="inlineStr"/>
      <c r="I10" s="17" t="inlineStr"/>
    </row>
    <row r="11">
      <c r="A11" s="17" t="inlineStr">
        <is>
          <t>FR2-08</t>
        </is>
      </c>
      <c r="B11" s="24" t="inlineStr">
        <is>
          <t>Front</t>
        </is>
      </c>
      <c r="C11" s="19" t="inlineStr">
        <is>
          <t>Corrections Design + responsive blocs 3-4</t>
        </is>
      </c>
      <c r="D11" s="20" t="inlineStr">
        <is>
          <t>Frises et tableaux larges défilent ou passent en cartes.</t>
        </is>
      </c>
      <c r="E11" s="21" t="inlineStr">
        <is>
          <t>templates/propositions/, employes/, contrats/, onboarding/
static/css/rh.css</t>
        </is>
      </c>
      <c r="F11" s="17" t="inlineStr">
        <is>
          <t>P1</t>
        </is>
      </c>
      <c r="G11" s="20" t="inlineStr">
        <is>
          <t>Jeudi après-midi</t>
        </is>
      </c>
      <c r="H11" s="17" t="inlineStr"/>
      <c r="I11" s="17" t="inlineStr"/>
    </row>
    <row r="12">
      <c r="A12" s="17" t="inlineStr">
        <is>
          <t>T-09</t>
        </is>
      </c>
      <c r="B12" s="18" t="inlineStr">
        <is>
          <t>Tous</t>
        </is>
      </c>
      <c r="C12" s="19" t="inlineStr">
        <is>
          <t>Gel des fonctionnalités</t>
        </is>
      </c>
      <c r="D12" s="20" t="inlineStr">
        <is>
          <t>Après jeudi 16h : uniquement corrections.</t>
        </is>
      </c>
      <c r="E12" s="21" t="inlineStr">
        <is>
          <t>—</t>
        </is>
      </c>
      <c r="F12" s="17" t="inlineStr">
        <is>
          <t>P1</t>
        </is>
      </c>
      <c r="G12" s="20" t="inlineStr">
        <is>
          <t>Jeudi 16h</t>
        </is>
      </c>
      <c r="H12" s="17" t="inlineStr"/>
      <c r="I12" s="17" t="inlineStr"/>
    </row>
    <row r="13">
      <c r="A13" s="17" t="inlineStr">
        <is>
          <t>T-10</t>
        </is>
      </c>
      <c r="B13" s="18" t="inlineStr">
        <is>
          <t>Tous</t>
        </is>
      </c>
      <c r="C13" s="19" t="inlineStr">
        <is>
          <t>Tester le scénario complet</t>
        </is>
      </c>
      <c r="D13" s="20" t="inlineStr">
        <is>
          <t>Scénario section 11 de TODO.md, noter les bugs.</t>
        </is>
      </c>
      <c r="E13" s="21" t="inlineStr">
        <is>
          <t>TODO.md section 11 (scénario) + bugs notés dans la feuille</t>
        </is>
      </c>
      <c r="F13" s="17" t="inlineStr">
        <is>
          <t>P1</t>
        </is>
      </c>
      <c r="G13" s="20" t="inlineStr">
        <is>
          <t>Jeudi 16h-18h</t>
        </is>
      </c>
      <c r="H13" s="17" t="inlineStr"/>
      <c r="I13" s="17" t="inlineStr"/>
    </row>
    <row r="14">
      <c r="A14" s="17" t="inlineStr">
        <is>
          <t>BK0-12</t>
        </is>
      </c>
      <c r="B14" s="22" t="inlineStr">
        <is>
          <t>Back</t>
        </is>
      </c>
      <c r="C14" s="19" t="inlineStr">
        <is>
          <t>README à jour</t>
        </is>
      </c>
      <c r="D14" s="20" t="inlineStr">
        <is>
          <t>Lancement, comptes de démo, profils.</t>
        </is>
      </c>
      <c r="E14" s="21" t="inlineStr">
        <is>
          <t>README.md</t>
        </is>
      </c>
      <c r="F14" s="17" t="inlineStr">
        <is>
          <t>P1</t>
        </is>
      </c>
      <c r="G14" s="20" t="inlineStr">
        <is>
          <t>Vendredi matin</t>
        </is>
      </c>
      <c r="H14" s="17" t="inlineStr"/>
      <c r="I14" s="17" t="inlineStr"/>
    </row>
    <row r="15">
      <c r="A15" s="17" t="inlineStr">
        <is>
          <t>DS1-11</t>
        </is>
      </c>
      <c r="B15" s="23" t="inlineStr">
        <is>
          <t>Design</t>
        </is>
      </c>
      <c r="C15" s="19" t="inlineStr">
        <is>
          <t>Schémas architecture + modèle de données</t>
        </is>
      </c>
      <c r="D15" s="20" t="inlineStr">
        <is>
          <t>Version propre des sections 1 et 2 pour la soutenance.</t>
        </is>
      </c>
      <c r="E15" s="21" t="inlineStr">
        <is>
          <t>Figma : page « Soutenance »</t>
        </is>
      </c>
      <c r="F15" s="17" t="inlineStr">
        <is>
          <t>P2</t>
        </is>
      </c>
      <c r="G15" s="20" t="inlineStr">
        <is>
          <t>Vendredi matin</t>
        </is>
      </c>
      <c r="H15" s="17" t="inlineStr"/>
      <c r="I15" s="17" t="inlineStr"/>
    </row>
    <row r="16">
      <c r="A16" s="17" t="inlineStr">
        <is>
          <t>DS2-01</t>
        </is>
      </c>
      <c r="B16" s="23" t="inlineStr">
        <is>
          <t>Design</t>
        </is>
      </c>
      <c r="C16" s="19" t="inlineStr">
        <is>
          <t>Export du userflow + personas</t>
        </is>
      </c>
      <c r="D16" s="20" t="inlineStr">
        <is>
          <t>Exporter le board Figma en PNG HD et le partager. Une fiche persona par rôle.</t>
        </is>
      </c>
      <c r="E16" s="21" t="inlineStr">
        <is>
          <t>Figma : board « userflow »
docs/userflow.png (export)
docs/personas.pdf</t>
        </is>
      </c>
      <c r="F16" s="17" t="inlineStr">
        <is>
          <t>P1</t>
        </is>
      </c>
      <c r="G16" s="20" t="inlineStr">
        <is>
          <t>Lundi</t>
        </is>
      </c>
      <c r="H16" s="17" t="inlineStr"/>
      <c r="I16" s="17" t="inlineStr"/>
    </row>
    <row r="17">
      <c r="A17" s="17" t="inlineStr">
        <is>
          <t>DS2-08</t>
        </is>
      </c>
      <c r="B17" s="23" t="inlineStr">
        <is>
          <t>Design</t>
        </is>
      </c>
      <c r="C17" s="19" t="inlineStr">
        <is>
          <t>Support de présentation</t>
        </is>
      </c>
      <c r="D17" s="20" t="inlineStr">
        <is>
          <t>Problème, parcours, architecture, captures, démo, difficultés, suite.</t>
        </is>
      </c>
      <c r="E17" s="21" t="inlineStr">
        <is>
          <t>docs/soutenance.pdf (export du support)</t>
        </is>
      </c>
      <c r="F17" s="17" t="inlineStr">
        <is>
          <t>P1</t>
        </is>
      </c>
      <c r="G17" s="20" t="inlineStr">
        <is>
          <t>Jeudi → vendredi</t>
        </is>
      </c>
      <c r="H17" s="17" t="inlineStr"/>
      <c r="I17" s="17" t="inlineStr"/>
    </row>
    <row r="18">
      <c r="A18" s="17" t="inlineStr">
        <is>
          <t>T-11</t>
        </is>
      </c>
      <c r="B18" s="18" t="inlineStr">
        <is>
          <t>Tous</t>
        </is>
      </c>
      <c r="C18" s="19" t="inlineStr">
        <is>
          <t>Données de démo finales + répétition</t>
        </is>
      </c>
      <c r="D18" s="20" t="inlineStr">
        <is>
          <t>Jeu de données propre, répétition de la démo.</t>
        </is>
      </c>
      <c r="E18" s="21" t="inlineStr">
        <is>
          <t>java/*/demo/DonneesDemo*.java</t>
        </is>
      </c>
      <c r="F18" s="17" t="inlineStr">
        <is>
          <t>P1</t>
        </is>
      </c>
      <c r="G18" s="20" t="inlineStr">
        <is>
          <t>Vendredi matin</t>
        </is>
      </c>
      <c r="H18" s="17" t="inlineStr"/>
      <c r="I18" s="17" t="inlineStr"/>
    </row>
    <row r="19">
      <c r="A19" s="17" t="inlineStr">
        <is>
          <t>T-12</t>
        </is>
      </c>
      <c r="B19" s="18" t="inlineStr">
        <is>
          <t>Tous</t>
        </is>
      </c>
      <c r="C19" s="19" t="inlineStr">
        <is>
          <t>Rendu et soutenance</t>
        </is>
      </c>
      <c r="D19" s="20" t="inlineStr"/>
      <c r="E19" s="21" t="inlineStr">
        <is>
          <t>—</t>
        </is>
      </c>
      <c r="F19" s="17" t="inlineStr">
        <is>
          <t>P1</t>
        </is>
      </c>
      <c r="G19" s="20" t="inlineStr">
        <is>
          <t>Vendredi</t>
        </is>
      </c>
      <c r="H19" s="17" t="inlineStr"/>
      <c r="I19" s="17" t="inlineStr"/>
    </row>
  </sheetData>
  <autoFilter ref="A1:I19"/>
  <conditionalFormatting sqref="A2:I19">
    <cfRule type="expression" priority="1" dxfId="0">
      <formula>$H2="Fait"</formula>
    </cfRule>
    <cfRule type="expression" priority="2" dxfId="1">
      <formula>$H2="En cours"</formula>
    </cfRule>
  </conditionalFormatting>
  <dataValidations count="2">
    <dataValidation sqref="H2:H19" showDropDown="0" showInputMessage="0" showErrorMessage="0" allowBlank="1" type="list">
      <formula1>"En cours,Fait"</formula1>
    </dataValidation>
    <dataValidation sqref="I2:I19" showDropDown="0" showInputMessage="0" showErrorMessage="0" allowBlank="1" type="list">
      <formula1>"Armando,Tsiky,Miora,Andriantsoa"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2026-10-19T18:06:56Z</dcterms:created>
  <dcterms:modified xsi:type="dcterms:W3CDTF">2026-10-19T18:06:56Z</dcterms:modified>
</cp:coreProperties>
</file>